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it\OneDrive\Desktop\Mohit Power Bi Assignmen\"/>
    </mc:Choice>
  </mc:AlternateContent>
  <xr:revisionPtr revIDLastSave="0" documentId="13_ncr:1_{D900B787-8DA2-494A-8672-3CE780079831}" xr6:coauthVersionLast="47" xr6:coauthVersionMax="47" xr10:uidLastSave="{00000000-0000-0000-0000-000000000000}"/>
  <bookViews>
    <workbookView xWindow="-103" yWindow="-103" windowWidth="22149" windowHeight="13200" firstSheet="6" activeTab="9" xr2:uid="{778FF607-2249-4B4A-8BE6-32AB27760D31}"/>
  </bookViews>
  <sheets>
    <sheet name="Assignment_Data7 to 10" sheetId="1" r:id="rId1"/>
    <sheet name="Stastics question" sheetId="6" r:id="rId2"/>
    <sheet name="Stastics assignment" sheetId="2" r:id="rId3"/>
    <sheet name="Q-5" sheetId="7" r:id="rId4"/>
    <sheet name="Q-6" sheetId="8" r:id="rId5"/>
    <sheet name="Q-10" sheetId="10" r:id="rId6"/>
    <sheet name="Pivot assignment" sheetId="3" r:id="rId7"/>
    <sheet name="Avg Salary acc to age" sheetId="11" r:id="rId8"/>
    <sheet name="Satisfaction -Score Value" sheetId="12" r:id="rId9"/>
    <sheet name="Visit per frequency  Records" sheetId="13" r:id="rId10"/>
    <sheet name="Min Ma Avg Salary By Age Group" sheetId="14" r:id="rId11"/>
    <sheet name="Salary Range Purchase Count" sheetId="15" r:id="rId12"/>
  </sheets>
  <definedNames>
    <definedName name="_xlnm._FilterDatabase" localSheetId="0" hidden="1">'Assignment_Data7 to 10'!$A$1:$J$1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2" l="1"/>
  <c r="C23" i="2" s="1"/>
  <c r="D24" i="2"/>
  <c r="I15" i="1"/>
  <c r="I17" i="1"/>
  <c r="I13" i="1"/>
  <c r="I11" i="1"/>
  <c r="D22" i="7"/>
  <c r="D21" i="7"/>
  <c r="D20" i="7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2" i="1"/>
  <c r="D38" i="2"/>
  <c r="C38" i="2"/>
  <c r="C35" i="2"/>
  <c r="F32" i="2"/>
  <c r="D32" i="2"/>
  <c r="C32" i="2"/>
  <c r="D29" i="2" a="1"/>
  <c r="D29" i="2" s="1"/>
  <c r="C29" i="2" a="1"/>
  <c r="C29" i="2" s="1"/>
  <c r="C21" i="2"/>
  <c r="C6" i="2"/>
  <c r="C12" i="2"/>
  <c r="D9" i="2"/>
  <c r="C9" i="2"/>
  <c r="D6" i="2"/>
  <c r="F3" i="2"/>
  <c r="D3" i="2"/>
  <c r="J89" i="1"/>
  <c r="C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<sst xmlns="http://schemas.openxmlformats.org/spreadsheetml/2006/main" count="186" uniqueCount="96">
  <si>
    <t>Age</t>
  </si>
  <si>
    <t>Salary</t>
  </si>
  <si>
    <t>Purchase_Count</t>
  </si>
  <si>
    <t>Satisfaction_Score</t>
  </si>
  <si>
    <t>Visit_Frequency</t>
  </si>
  <si>
    <t>Calculate the mean, median, and mode of 'Age'.</t>
  </si>
  <si>
    <t>Find the standard deviation and variance of 'Salary'.</t>
  </si>
  <si>
    <t>Compute the skewness and kurtosis of 'Purchase_Count'.</t>
  </si>
  <si>
    <t>What is the correlation between 'Salary' and 'Satisfaction_Score'?</t>
  </si>
  <si>
    <t>Get the summary statistics (count, mean, std, min, 25%, 50%, 75%, max) for every column.</t>
  </si>
  <si>
    <t>Plot the histogram of 'Visit_Frequency' and comment on its skewness.</t>
  </si>
  <si>
    <t>Identify if 'Satisfaction_Score' has any outliers using standard deviation method.</t>
  </si>
  <si>
    <t>Calculate the coefficient of variation for 'Salary'.</t>
  </si>
  <si>
    <t>Find the interquartile range (IQR) for 'Purchase_Count'.</t>
  </si>
  <si>
    <t>Compute the Pearson correlation matrix for the entire dataset.</t>
  </si>
  <si>
    <t>Calculate the range (max - min) for the 'Age' and 'Salary' columns.</t>
  </si>
  <si>
    <t>Determine the percentile ranks for 'Purchase_Count' at 25%, 50%, and 75%.</t>
  </si>
  <si>
    <t>Find the covariance between 'Salary' and 'Visit_Frequency'.</t>
  </si>
  <si>
    <t>Check if 'Salary' follows a normal distribution using skewness and kurtosis values.</t>
  </si>
  <si>
    <t>Calculate the z-scores for 'Satisfaction_Score' and identify any data points beyond ±3.</t>
  </si>
  <si>
    <t>Mean</t>
  </si>
  <si>
    <t xml:space="preserve">Median </t>
  </si>
  <si>
    <t>Mode</t>
  </si>
  <si>
    <t>Standard deviation</t>
  </si>
  <si>
    <t>Variance</t>
  </si>
  <si>
    <t>Skewness</t>
  </si>
  <si>
    <t>Kurtosis</t>
  </si>
  <si>
    <t>Correction between salary &amp; satisfaction score</t>
  </si>
  <si>
    <t>Covariance</t>
  </si>
  <si>
    <t>No</t>
  </si>
  <si>
    <t>Z score</t>
  </si>
  <si>
    <t>Create a pivot table to find the average Salary by each Category (group by Age groups if preferred).</t>
  </si>
  <si>
    <t>Use a pivot table to sum the Purchase_Count for each Satisfaction_Score value.</t>
  </si>
  <si>
    <t>Build a pivot table to show the count of records per Visit_Frequency value.</t>
  </si>
  <si>
    <t>Generate a pivot table that shows the minimum, maximum, and average Salary per Age group (e.g., 18-25, 26-35, etc.).</t>
  </si>
  <si>
    <t>Create a pivot table to display the total Purchase_Count for each distinct Salary range bucket (e.g., 25k-50k, 50k-75k, etc.).</t>
  </si>
  <si>
    <t>Row Labels</t>
  </si>
  <si>
    <t>Grand Total</t>
  </si>
  <si>
    <t>Average of Salary</t>
  </si>
  <si>
    <t>Sum of Purchase_Count</t>
  </si>
  <si>
    <t>Count of Visit_Frequency</t>
  </si>
  <si>
    <t>Standard Error</t>
  </si>
  <si>
    <t>Median</t>
  </si>
  <si>
    <t>Standard Deviation</t>
  </si>
  <si>
    <t>Sample Variance</t>
  </si>
  <si>
    <t>Range</t>
  </si>
  <si>
    <t>Minimum</t>
  </si>
  <si>
    <t>Maximum</t>
  </si>
  <si>
    <t>Sum</t>
  </si>
  <si>
    <t>Count</t>
  </si>
  <si>
    <t>Bin</t>
  </si>
  <si>
    <t>More</t>
  </si>
  <si>
    <t>Frequency</t>
  </si>
  <si>
    <t xml:space="preserve">Skewness </t>
  </si>
  <si>
    <t xml:space="preserve">Histogram of visit shows right skewed </t>
  </si>
  <si>
    <t>Using Standard deviation method lower limit is 0.79 and upper limit is 5.48 all scores fall within this range therefore there are no outliers in this data set</t>
  </si>
  <si>
    <t>STDEV.S</t>
  </si>
  <si>
    <t>Upper limit</t>
  </si>
  <si>
    <t>Lower limit</t>
  </si>
  <si>
    <t>Q1</t>
  </si>
  <si>
    <t>Q3</t>
  </si>
  <si>
    <t>18-24</t>
  </si>
  <si>
    <t>25-31</t>
  </si>
  <si>
    <t>32-38</t>
  </si>
  <si>
    <t>39-45</t>
  </si>
  <si>
    <t>46-52</t>
  </si>
  <si>
    <t>53-59</t>
  </si>
  <si>
    <t>60-66</t>
  </si>
  <si>
    <t>Sum of Salary</t>
  </si>
  <si>
    <t>Max of Salary2</t>
  </si>
  <si>
    <t>Min of Salary3</t>
  </si>
  <si>
    <t>25000-49999</t>
  </si>
  <si>
    <t>50000-74999</t>
  </si>
  <si>
    <t>75000-99999</t>
  </si>
  <si>
    <t>100000-124999</t>
  </si>
  <si>
    <t>125000-149999</t>
  </si>
  <si>
    <t>150000-174999</t>
  </si>
  <si>
    <t>175000-200000</t>
  </si>
  <si>
    <t>Q-1</t>
  </si>
  <si>
    <t>Q-2</t>
  </si>
  <si>
    <t>Q-3</t>
  </si>
  <si>
    <t>Q-4</t>
  </si>
  <si>
    <t>Q-5</t>
  </si>
  <si>
    <t>Q-6</t>
  </si>
  <si>
    <t>Q-7</t>
  </si>
  <si>
    <t>Q-8</t>
  </si>
  <si>
    <t>Q-9</t>
  </si>
  <si>
    <t>Q-10</t>
  </si>
  <si>
    <t>Q-11</t>
  </si>
  <si>
    <t>Q-12</t>
  </si>
  <si>
    <t>Q-13</t>
  </si>
  <si>
    <t>Q-15</t>
  </si>
  <si>
    <t>Q-14</t>
  </si>
  <si>
    <t>Refer sheet Q-5 sheet</t>
  </si>
  <si>
    <t>Refer sheet Q-6 Sheet</t>
  </si>
  <si>
    <t>Refer sheet Q-10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</si>
</sst>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0" fillId="0" borderId="10" xfId="0" applyBorder="1" applyAlignment="1">
      <alignment wrapText="1"/>
    </xf>
    <xf numFmtId="9" fontId="0" fillId="0" borderId="10" xfId="0" applyNumberFormat="1" applyBorder="1"/>
    <xf numFmtId="0" fontId="0" fillId="0" borderId="0" xfId="0" applyAlignment="1">
      <alignment horizontal="left"/>
    </xf>
    <xf numFmtId="0" fontId="0" fillId="0" borderId="11" xfId="0" applyBorder="1"/>
    <xf numFmtId="0" fontId="18" fillId="0" borderId="12" xfId="0" applyFont="1" applyBorder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'Q-6'!$A$2:$A$12</c:f>
              <c:strCache>
                <c:ptCount val="11"/>
                <c:pt idx="0">
                  <c:v>1</c:v>
                </c:pt>
                <c:pt idx="1">
                  <c:v>2.8</c:v>
                </c:pt>
                <c:pt idx="2">
                  <c:v>4.6</c:v>
                </c:pt>
                <c:pt idx="3">
                  <c:v>6.4</c:v>
                </c:pt>
                <c:pt idx="4">
                  <c:v>8.2</c:v>
                </c:pt>
                <c:pt idx="5">
                  <c:v>10</c:v>
                </c:pt>
                <c:pt idx="6">
                  <c:v>11.8</c:v>
                </c:pt>
                <c:pt idx="7">
                  <c:v>13.6</c:v>
                </c:pt>
                <c:pt idx="8">
                  <c:v>15.4</c:v>
                </c:pt>
                <c:pt idx="9">
                  <c:v>17.2</c:v>
                </c:pt>
                <c:pt idx="10">
                  <c:v>More</c:v>
                </c:pt>
              </c:strCache>
            </c:strRef>
          </c:cat>
          <c:val>
            <c:numRef>
              <c:f>'Q-6'!$B$2:$B$12</c:f>
              <c:numCache>
                <c:formatCode>General</c:formatCode>
                <c:ptCount val="11"/>
                <c:pt idx="0">
                  <c:v>6</c:v>
                </c:pt>
                <c:pt idx="1">
                  <c:v>4</c:v>
                </c:pt>
                <c:pt idx="2">
                  <c:v>15</c:v>
                </c:pt>
                <c:pt idx="3">
                  <c:v>10</c:v>
                </c:pt>
                <c:pt idx="4">
                  <c:v>7</c:v>
                </c:pt>
                <c:pt idx="5">
                  <c:v>10</c:v>
                </c:pt>
                <c:pt idx="6">
                  <c:v>3</c:v>
                </c:pt>
                <c:pt idx="7">
                  <c:v>14</c:v>
                </c:pt>
                <c:pt idx="8">
                  <c:v>4</c:v>
                </c:pt>
                <c:pt idx="9">
                  <c:v>16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C3-441E-B0E1-4BC7F98E7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0486896"/>
        <c:axId val="1780488336"/>
      </c:barChart>
      <c:catAx>
        <c:axId val="1780486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0488336"/>
        <c:crosses val="autoZero"/>
        <c:auto val="1"/>
        <c:lblAlgn val="ctr"/>
        <c:lblOffset val="100"/>
        <c:noMultiLvlLbl val="0"/>
      </c:catAx>
      <c:valAx>
        <c:axId val="17804883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04868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27215</xdr:colOff>
      <xdr:row>0</xdr:row>
      <xdr:rowOff>0</xdr:rowOff>
    </xdr:from>
    <xdr:to>
      <xdr:col>11</xdr:col>
      <xdr:colOff>152400</xdr:colOff>
      <xdr:row>23</xdr:row>
      <xdr:rowOff>70757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979EE9-B55F-672F-1954-72A7D98B2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15" y="0"/>
          <a:ext cx="7309756" cy="43270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255814</xdr:colOff>
      <xdr:row>0</xdr:row>
      <xdr:rowOff>179614</xdr:rowOff>
    </xdr:from>
    <xdr:to>
      <xdr:col>9</xdr:col>
      <xdr:colOff>255814</xdr:colOff>
      <xdr:row>10</xdr:row>
      <xdr:rowOff>179615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EDABFC-A579-89EF-8434-9EE273EEA9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ohit%20-Cohort138\Power%20Bi%20All%20Assignments%20and%20study%20material\Dats%20Warehousing%20Cocept%20and%20data%20modelling%20in%20power%20bi\Assignments\Assignments\Assignmen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it" refreshedDate="46065.302842708334" createdVersion="8" refreshedVersion="8" minRefreshableVersion="3" recordCount="100" xr:uid="{F7C5EE0A-619A-4977-8628-6F318ED0982A}">
  <cacheSource type="worksheet">
    <worksheetSource ref="A1:F101" sheet="Reference table" r:id="rId2"/>
  </cacheSource>
  <cacheFields count="6">
    <cacheField name="Age" numFmtId="0">
      <sharedItems containsSemiMixedTypes="0" containsString="0" containsNumber="1" containsInteger="1" minValue="18" maxValue="64" count="43">
        <n v="56"/>
        <n v="46"/>
        <n v="32"/>
        <n v="60"/>
        <n v="25"/>
        <n v="38"/>
        <n v="36"/>
        <n v="40"/>
        <n v="28"/>
        <n v="41"/>
        <n v="53"/>
        <n v="57"/>
        <n v="20"/>
        <n v="39"/>
        <n v="19"/>
        <n v="61"/>
        <n v="47"/>
        <n v="55"/>
        <n v="50"/>
        <n v="29"/>
        <n v="42"/>
        <n v="44"/>
        <n v="59"/>
        <n v="45"/>
        <n v="33"/>
        <n v="64"/>
        <n v="54"/>
        <n v="24"/>
        <n v="26"/>
        <n v="35"/>
        <n v="21"/>
        <n v="31"/>
        <n v="43"/>
        <n v="37"/>
        <n v="52"/>
        <n v="34"/>
        <n v="23"/>
        <n v="51"/>
        <n v="27"/>
        <n v="48"/>
        <n v="62"/>
        <n v="58"/>
        <n v="18"/>
      </sharedItems>
      <fieldGroup base="0">
        <rangePr startNum="18" endNum="64" groupInterval="7"/>
        <groupItems count="9">
          <s v="&lt;18"/>
          <s v="18-24"/>
          <s v="25-31"/>
          <s v="32-38"/>
          <s v="39-45"/>
          <s v="46-52"/>
          <s v="53-59"/>
          <s v="60-66"/>
          <s v="&gt;67"/>
        </groupItems>
      </fieldGroup>
    </cacheField>
    <cacheField name="Salary" numFmtId="0">
      <sharedItems containsSemiMixedTypes="0" containsString="0" containsNumber="1" containsInteger="1" minValue="27693" maxValue="179736" count="100">
        <n v="158767"/>
        <n v="149375"/>
        <n v="161330"/>
        <n v="64504"/>
        <n v="38986"/>
        <n v="86858"/>
        <n v="154312"/>
        <n v="37666"/>
        <n v="63660"/>
        <n v="159633"/>
        <n v="51854"/>
        <n v="89505"/>
        <n v="129488"/>
        <n v="47662"/>
        <n v="33392"/>
        <n v="55535"/>
        <n v="138569"/>
        <n v="77256"/>
        <n v="114135"/>
        <n v="152478"/>
        <n v="60222"/>
        <n v="102373"/>
        <n v="148684"/>
        <n v="35965"/>
        <n v="49538"/>
        <n v="133066"/>
        <n v="138252"/>
        <n v="164182"/>
        <n v="123806"/>
        <n v="162982"/>
        <n v="135989"/>
        <n v="115982"/>
        <n v="146626"/>
        <n v="144176"/>
        <n v="156278"/>
        <n v="147409"/>
        <n v="48419"/>
        <n v="75015"/>
        <n v="147096"/>
        <n v="132059"/>
        <n v="135687"/>
        <n v="112939"/>
        <n v="174213"/>
        <n v="130878"/>
        <n v="87623"/>
        <n v="100450"/>
        <n v="118426"/>
        <n v="142845"/>
        <n v="178371"/>
        <n v="68585"/>
        <n v="134225"/>
        <n v="89044"/>
        <n v="134556"/>
        <n v="27693"/>
        <n v="120259"/>
        <n v="50939"/>
        <n v="177906"/>
        <n v="43047"/>
        <n v="51105"/>
        <n v="100766"/>
        <n v="171779"/>
        <n v="178048"/>
        <n v="69262"/>
        <n v="150117"/>
        <n v="48776"/>
        <n v="153376"/>
        <n v="162848"/>
        <n v="117787"/>
        <n v="152948"/>
        <n v="80016"/>
        <n v="165546"/>
        <n v="46959"/>
        <n v="161602"/>
        <n v="144101"/>
        <n v="28748"/>
        <n v="38545"/>
        <n v="152659"/>
        <n v="98530"/>
        <n v="118557"/>
        <n v="86087"/>
        <n v="93840"/>
        <n v="143451"/>
        <n v="76005"/>
        <n v="64353"/>
        <n v="77733"/>
        <n v="90318"/>
        <n v="179736"/>
        <n v="92172"/>
        <n v="118264"/>
        <n v="51736"/>
        <n v="137859"/>
        <n v="137181"/>
        <n v="156926"/>
        <n v="115084"/>
        <n v="32392"/>
        <n v="80680"/>
        <n v="75859"/>
        <n v="150657"/>
        <n v="95467"/>
        <n v="123506"/>
      </sharedItems>
      <fieldGroup base="1">
        <rangePr autoStart="0" autoEnd="0" startNum="25000" endNum="200000" groupInterval="25000"/>
        <groupItems count="9">
          <s v="&lt;25000"/>
          <s v="25000-49999"/>
          <s v="50000-74999"/>
          <s v="75000-99999"/>
          <s v="100000-124999"/>
          <s v="125000-149999"/>
          <s v="150000-174999"/>
          <s v="175000-200000"/>
          <s v="&gt;200000"/>
        </groupItems>
      </fieldGroup>
    </cacheField>
    <cacheField name="Purchase_Count" numFmtId="0">
      <sharedItems containsSemiMixedTypes="0" containsString="0" containsNumber="1" containsInteger="1" minValue="1" maxValue="49"/>
    </cacheField>
    <cacheField name="Satisfaction_Score" numFmtId="0">
      <sharedItems containsSemiMixedTypes="0" containsString="0" containsNumber="1" minValue="1.0618264661154599" maxValue="4.9602154004170496" count="100">
        <n v="1.9759585735163301"/>
        <n v="4.8920422190097801"/>
        <n v="2.5723908986670398"/>
        <n v="4.5681862207084496"/>
        <n v="3.5245545039890498"/>
        <n v="4.1792452141665901"/>
        <n v="3.01054837242076"/>
        <n v="3.3076155385054302"/>
        <n v="2.9700707752754498"/>
        <n v="1.78097195119217"/>
        <n v="3.88980846104602"/>
        <n v="2.1230894497634201"/>
        <n v="1.09726386572581"/>
        <n v="3.5818891836286699"/>
        <n v="1.70844271762819"/>
        <n v="4.7618343374116501"/>
        <n v="4.8157143080103397"/>
        <n v="4.6594575608817896"/>
        <n v="2.48063480102177"/>
        <n v="1.0618264661154599"/>
        <n v="4.7132742503509002"/>
        <n v="2.7127365932692502"/>
        <n v="4.8666192761746698"/>
        <n v="4.8544799083570096"/>
        <n v="4.4120378218694398"/>
        <n v="2.1777955682783401"/>
        <n v="2.5403909144077002"/>
        <n v="4.4045466860674196"/>
        <n v="2.2676880206251102"/>
        <n v="1.67797098674437"/>
        <n v="3.2272050498334002"/>
        <n v="4.7446190966431203"/>
        <n v="3.7841191866998898"/>
        <n v="3.2802446803574599"/>
        <n v="1.3887059750830699"/>
        <n v="3.4600289067966701"/>
        <n v="4.9602154004170496"/>
        <n v="1.5603360609460899"/>
        <n v="3.0733186094549398"/>
        <n v="4.5094922877118204"/>
        <n v="3.9630744710168102"/>
        <n v="3.7880629639810701"/>
        <n v="3.80993633594843"/>
        <n v="2.4379646048790198"/>
        <n v="2.1743673770579699"/>
        <n v="4.23744462191405"/>
        <n v="4.2404535787167204"/>
        <n v="4.4682892743204103"/>
        <n v="4.6529622102258799"/>
        <n v="3.0453695954437499"/>
        <n v="3.00606517874879"/>
        <n v="4.1931807158670997"/>
        <n v="3.5998557231110602"/>
        <n v="3.8078675090308098"/>
        <n v="4.1831706777443998"/>
        <n v="4.5600213672702603"/>
        <n v="2.3519806274061401"/>
        <n v="2.5023318105597698"/>
        <n v="1.37592775936347"/>
        <n v="3.3131205639846901"/>
        <n v="1.1437690951869599"/>
        <n v="2.8623920725298402"/>
        <n v="3.1705785388302998"/>
        <n v="2.1461650085131301"/>
        <n v="3.3633330422760399"/>
        <n v="1.1220009997561899"/>
        <n v="1.1493927549968499"/>
        <n v="4.2904022426386303"/>
        <n v="2.4407625656450498"/>
        <n v="1.50824205060753"/>
        <n v="3.0889730402192099"/>
        <n v="4.0799742123944398"/>
        <n v="1.86328410998737"/>
        <n v="3.4915619032760001"/>
        <n v="1.34138985997507"/>
        <n v="1.2067268846744299"/>
        <n v="3.1254185262725902"/>
        <n v="3.1625404864404199"/>
        <n v="3.54971960599282"/>
        <n v="3.90436533489064"/>
        <n v="4.90340831785013"/>
        <n v="3.0652013932047799"/>
        <n v="2.2918258917649799"/>
        <n v="4.1807447790748098"/>
        <n v="2.0833290050482902"/>
        <n v="2.75588568282254"/>
        <n v="1.3138255253690601"/>
        <n v="1.10140297366183"/>
        <n v="4.8505936587117002"/>
        <n v="4.3439204820488202"/>
        <n v="3.7838968243747901"/>
        <n v="2.6358117776570702"/>
        <n v="1.69317728028338"/>
        <n v="1.62574817068434"/>
        <n v="2.00097159265838"/>
        <n v="3.1969066588244801"/>
        <n v="3.85838369080024"/>
        <n v="3.6407895068709202"/>
        <n v="2.11973558778377"/>
        <n v="4.8194611226527702"/>
      </sharedItems>
    </cacheField>
    <cacheField name="Visit_Frequency" numFmtId="0">
      <sharedItems containsSemiMixedTypes="0" containsString="0" containsNumber="1" containsInteger="1" minValue="1" maxValue="19" count="18">
        <n v="7"/>
        <n v="5"/>
        <n v="3"/>
        <n v="12"/>
        <n v="16"/>
        <n v="19"/>
        <n v="14"/>
        <n v="15"/>
        <n v="17"/>
        <n v="4"/>
        <n v="1"/>
        <n v="10"/>
        <n v="2"/>
        <n v="13"/>
        <n v="18"/>
        <n v="11"/>
        <n v="8"/>
        <n v="9"/>
      </sharedItems>
    </cacheField>
    <cacheField name="Z score" numFmtId="0">
      <sharedItems containsMixedTypes="1" containsNumber="1" minValue="-1.7472845919087894" maxValue="1.65375952653372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n v="17"/>
    <x v="0"/>
    <x v="0"/>
    <n v="-0.99010449790727018"/>
  </r>
  <r>
    <x v="1"/>
    <x v="1"/>
    <n v="38"/>
    <x v="1"/>
    <x v="1"/>
    <n v="1.4894752238525444"/>
  </r>
  <r>
    <x v="2"/>
    <x v="2"/>
    <n v="24"/>
    <x v="2"/>
    <x v="2"/>
    <n v="-0.47874098775186735"/>
  </r>
  <r>
    <x v="3"/>
    <x v="3"/>
    <n v="5"/>
    <x v="3"/>
    <x v="3"/>
    <n v="1.2262905419273622"/>
  </r>
  <r>
    <x v="4"/>
    <x v="4"/>
    <n v="34"/>
    <x v="4"/>
    <x v="4"/>
    <n v="0.34685247526812757"/>
  </r>
  <r>
    <x v="5"/>
    <x v="5"/>
    <n v="6"/>
    <x v="5"/>
    <x v="5"/>
    <n v="0.90810624085433544"/>
  </r>
  <r>
    <x v="0"/>
    <x v="6"/>
    <n v="22"/>
    <x v="6"/>
    <x v="1"/>
    <n v="-8.0447987192587611E-2"/>
  </r>
  <r>
    <x v="6"/>
    <x v="7"/>
    <n v="11"/>
    <x v="7"/>
    <x v="6"/>
    <n v="0.17128893700262091"/>
  </r>
  <r>
    <x v="7"/>
    <x v="8"/>
    <n v="48"/>
    <x v="8"/>
    <x v="1"/>
    <n v="-0.11277554864966741"/>
  </r>
  <r>
    <x v="8"/>
    <x v="9"/>
    <n v="16"/>
    <x v="9"/>
    <x v="7"/>
    <n v="-1.1119649677301573"/>
  </r>
  <r>
    <x v="8"/>
    <x v="10"/>
    <n v="33"/>
    <x v="10"/>
    <x v="8"/>
    <n v="0.64752972559783639"/>
  </r>
  <r>
    <x v="9"/>
    <x v="11"/>
    <n v="9"/>
    <x v="11"/>
    <x v="6"/>
    <n v="-0.82821724033921351"/>
  </r>
  <r>
    <x v="10"/>
    <x v="12"/>
    <n v="6"/>
    <x v="12"/>
    <x v="1"/>
    <n v="-1.6945110844959017"/>
  </r>
  <r>
    <x v="11"/>
    <x v="13"/>
    <n v="16"/>
    <x v="13"/>
    <x v="3"/>
    <n v="0.36911517846716091"/>
  </r>
  <r>
    <x v="9"/>
    <x v="14"/>
    <n v="29"/>
    <x v="14"/>
    <x v="4"/>
    <n v="-1.2057370463306696"/>
  </r>
  <r>
    <x v="12"/>
    <x v="15"/>
    <n v="3"/>
    <x v="15"/>
    <x v="4"/>
    <n v="1.3545469848136515"/>
  </r>
  <r>
    <x v="13"/>
    <x v="16"/>
    <n v="20"/>
    <x v="16"/>
    <x v="0"/>
    <n v="1.4235272142077389"/>
  </r>
  <r>
    <x v="14"/>
    <x v="17"/>
    <n v="36"/>
    <x v="17"/>
    <x v="9"/>
    <n v="1.3165313219022723"/>
  </r>
  <r>
    <x v="9"/>
    <x v="18"/>
    <n v="19"/>
    <x v="18"/>
    <x v="10"/>
    <n v="-0.53094819008688288"/>
  </r>
  <r>
    <x v="15"/>
    <x v="19"/>
    <n v="26"/>
    <x v="19"/>
    <x v="1"/>
    <n v="-1.7472845919087894"/>
  </r>
  <r>
    <x v="16"/>
    <x v="20"/>
    <n v="3"/>
    <x v="20"/>
    <x v="11"/>
    <n v="1.3687446692709024"/>
  </r>
  <r>
    <x v="17"/>
    <x v="21"/>
    <n v="19"/>
    <x v="21"/>
    <x v="1"/>
    <n v="-0.3481878276590073"/>
  </r>
  <r>
    <x v="14"/>
    <x v="22"/>
    <n v="20"/>
    <x v="22"/>
    <x v="9"/>
    <n v="1.5145951097806338"/>
  </r>
  <r>
    <x v="5"/>
    <x v="23"/>
    <n v="32"/>
    <x v="23"/>
    <x v="12"/>
    <n v="1.5371990299176692"/>
  </r>
  <r>
    <x v="18"/>
    <x v="24"/>
    <n v="7"/>
    <x v="24"/>
    <x v="11"/>
    <n v="1.1819269459631041"/>
  </r>
  <r>
    <x v="19"/>
    <x v="25"/>
    <n v="41"/>
    <x v="25"/>
    <x v="5"/>
    <n v="-0.77481087575833751"/>
  </r>
  <r>
    <x v="13"/>
    <x v="26"/>
    <n v="33"/>
    <x v="26"/>
    <x v="10"/>
    <n v="-0.46337547109534005"/>
  </r>
  <r>
    <x v="15"/>
    <x v="27"/>
    <n v="40"/>
    <x v="27"/>
    <x v="1"/>
    <n v="1.1681286001626054"/>
  </r>
  <r>
    <x v="20"/>
    <x v="28"/>
    <n v="39"/>
    <x v="28"/>
    <x v="13"/>
    <n v="-0.69206629274256648"/>
  </r>
  <r>
    <x v="21"/>
    <x v="29"/>
    <n v="18"/>
    <x v="29"/>
    <x v="9"/>
    <n v="-1.2160832679812246"/>
  </r>
  <r>
    <x v="22"/>
    <x v="30"/>
    <n v="40"/>
    <x v="30"/>
    <x v="4"/>
    <n v="0.12476036765789184"/>
  </r>
  <r>
    <x v="23"/>
    <x v="31"/>
    <n v="1"/>
    <x v="31"/>
    <x v="4"/>
    <n v="1.4508274551617439"/>
  </r>
  <r>
    <x v="24"/>
    <x v="32"/>
    <n v="11"/>
    <x v="32"/>
    <x v="12"/>
    <n v="0.63879177337680659"/>
  </r>
  <r>
    <x v="2"/>
    <x v="33"/>
    <n v="28"/>
    <x v="33"/>
    <x v="8"/>
    <n v="0.2036101432055627"/>
  </r>
  <r>
    <x v="25"/>
    <x v="34"/>
    <n v="25"/>
    <x v="34"/>
    <x v="3"/>
    <n v="-1.4414494883224609"/>
  </r>
  <r>
    <x v="15"/>
    <x v="35"/>
    <n v="23"/>
    <x v="35"/>
    <x v="14"/>
    <n v="0.34250229361128692"/>
  </r>
  <r>
    <x v="12"/>
    <x v="36"/>
    <n v="31"/>
    <x v="36"/>
    <x v="2"/>
    <n v="1.6537595265337273"/>
  </r>
  <r>
    <x v="26"/>
    <x v="37"/>
    <n v="30"/>
    <x v="37"/>
    <x v="10"/>
    <n v="-1.3038594156541949"/>
  </r>
  <r>
    <x v="27"/>
    <x v="38"/>
    <n v="42"/>
    <x v="38"/>
    <x v="10"/>
    <n v="1.4006161499218326E-2"/>
  </r>
  <r>
    <x v="5"/>
    <x v="39"/>
    <n v="35"/>
    <x v="39"/>
    <x v="5"/>
    <n v="1.282089266751429"/>
  </r>
  <r>
    <x v="28"/>
    <x v="40"/>
    <n v="7"/>
    <x v="40"/>
    <x v="15"/>
    <n v="0.82574546763589307"/>
  </r>
  <r>
    <x v="0"/>
    <x v="41"/>
    <n v="16"/>
    <x v="41"/>
    <x v="1"/>
    <n v="0.68253882526133924"/>
  </r>
  <r>
    <x v="29"/>
    <x v="42"/>
    <n v="26"/>
    <x v="42"/>
    <x v="3"/>
    <n v="0.71040698773411337"/>
  </r>
  <r>
    <x v="30"/>
    <x v="43"/>
    <n v="48"/>
    <x v="43"/>
    <x v="2"/>
    <n v="-0.48449073961158856"/>
  </r>
  <r>
    <x v="20"/>
    <x v="44"/>
    <n v="49"/>
    <x v="44"/>
    <x v="10"/>
    <n v="-0.71955216046005865"/>
  </r>
  <r>
    <x v="31"/>
    <x v="45"/>
    <n v="2"/>
    <x v="45"/>
    <x v="10"/>
    <n v="1.0611847933532845"/>
  </r>
  <r>
    <x v="28"/>
    <x v="46"/>
    <n v="1"/>
    <x v="46"/>
    <x v="16"/>
    <n v="1.0849532787703633"/>
  </r>
  <r>
    <x v="32"/>
    <x v="47"/>
    <n v="48"/>
    <x v="47"/>
    <x v="11"/>
    <n v="1.3059526820290699"/>
  </r>
  <r>
    <x v="14"/>
    <x v="48"/>
    <n v="12"/>
    <x v="48"/>
    <x v="15"/>
    <n v="1.5028013766612041"/>
  </r>
  <r>
    <x v="33"/>
    <x v="49"/>
    <n v="5"/>
    <x v="49"/>
    <x v="3"/>
    <n v="0.12372311691413845"/>
  </r>
  <r>
    <x v="23"/>
    <x v="50"/>
    <n v="37"/>
    <x v="50"/>
    <x v="13"/>
    <n v="9.0358833157368285E-2"/>
  </r>
  <r>
    <x v="25"/>
    <x v="51"/>
    <n v="32"/>
    <x v="51"/>
    <x v="3"/>
    <n v="1.1253601746567647"/>
  </r>
  <r>
    <x v="27"/>
    <x v="52"/>
    <n v="9"/>
    <x v="52"/>
    <x v="6"/>
    <n v="0.63393820662430045"/>
  </r>
  <r>
    <x v="15"/>
    <x v="53"/>
    <n v="41"/>
    <x v="53"/>
    <x v="12"/>
    <n v="0.82392898113684077"/>
  </r>
  <r>
    <x v="4"/>
    <x v="54"/>
    <n v="35"/>
    <x v="54"/>
    <x v="5"/>
    <n v="1.1637532729613191"/>
  </r>
  <r>
    <x v="25"/>
    <x v="55"/>
    <n v="19"/>
    <x v="55"/>
    <x v="14"/>
    <n v="1.5223826082721084"/>
  </r>
  <r>
    <x v="34"/>
    <x v="56"/>
    <n v="48"/>
    <x v="56"/>
    <x v="2"/>
    <n v="-0.36803276107197092"/>
  </r>
  <r>
    <x v="31"/>
    <x v="57"/>
    <n v="16"/>
    <x v="57"/>
    <x v="8"/>
    <n v="-0.24131953026093972"/>
  </r>
  <r>
    <x v="35"/>
    <x v="58"/>
    <n v="3"/>
    <x v="58"/>
    <x v="16"/>
    <n v="-1.2181147260666292"/>
  </r>
  <r>
    <x v="10"/>
    <x v="59"/>
    <n v="20"/>
    <x v="59"/>
    <x v="11"/>
    <n v="0.42978200540378442"/>
  </r>
  <r>
    <x v="11"/>
    <x v="60"/>
    <n v="24"/>
    <x v="60"/>
    <x v="12"/>
    <n v="-1.4324901654900659"/>
  </r>
  <r>
    <x v="30"/>
    <x v="61"/>
    <n v="33"/>
    <x v="61"/>
    <x v="5"/>
    <n v="1.1230149012135513E-2"/>
  </r>
  <r>
    <x v="14"/>
    <x v="62"/>
    <n v="24"/>
    <x v="62"/>
    <x v="17"/>
    <n v="0.2771971928862938"/>
  </r>
  <r>
    <x v="36"/>
    <x v="63"/>
    <n v="11"/>
    <x v="63"/>
    <x v="0"/>
    <n v="-0.59139414458995276"/>
  </r>
  <r>
    <x v="22"/>
    <x v="64"/>
    <n v="49"/>
    <x v="64"/>
    <x v="9"/>
    <n v="0.42498872912425228"/>
  </r>
  <r>
    <x v="30"/>
    <x v="65"/>
    <n v="8"/>
    <x v="65"/>
    <x v="14"/>
    <n v="-1.4375048450924264"/>
  </r>
  <r>
    <x v="1"/>
    <x v="66"/>
    <n v="36"/>
    <x v="66"/>
    <x v="13"/>
    <n v="-1.4824757549947638"/>
  </r>
  <r>
    <x v="29"/>
    <x v="67"/>
    <n v="38"/>
    <x v="67"/>
    <x v="15"/>
    <n v="1.161619493834279"/>
  </r>
  <r>
    <x v="32"/>
    <x v="68"/>
    <n v="40"/>
    <x v="68"/>
    <x v="9"/>
    <n v="-0.4064446042777235"/>
  </r>
  <r>
    <x v="15"/>
    <x v="69"/>
    <n v="20"/>
    <x v="69"/>
    <x v="9"/>
    <n v="-1.2155777500007674"/>
  </r>
  <r>
    <x v="37"/>
    <x v="70"/>
    <n v="35"/>
    <x v="70"/>
    <x v="11"/>
    <n v="0.10383337689511887"/>
  </r>
  <r>
    <x v="38"/>
    <x v="71"/>
    <n v="48"/>
    <x v="71"/>
    <x v="1"/>
    <n v="0.9506019273144557"/>
  </r>
  <r>
    <x v="10"/>
    <x v="72"/>
    <n v="25"/>
    <x v="72"/>
    <x v="17"/>
    <n v="-0.90456761620450088"/>
  </r>
  <r>
    <x v="31"/>
    <x v="73"/>
    <n v="35"/>
    <x v="73"/>
    <x v="2"/>
    <n v="0.44743158491735724"/>
  </r>
  <r>
    <x v="39"/>
    <x v="74"/>
    <n v="25"/>
    <x v="74"/>
    <x v="8"/>
    <n v="-1.3402815733063524"/>
  </r>
  <r>
    <x v="2"/>
    <x v="75"/>
    <n v="29"/>
    <x v="75"/>
    <x v="2"/>
    <n v="-1.5344939487167246"/>
  </r>
  <r>
    <x v="4"/>
    <x v="76"/>
    <n v="18"/>
    <x v="76"/>
    <x v="4"/>
    <n v="3.6770735466567679E-2"/>
  </r>
  <r>
    <x v="31"/>
    <x v="77"/>
    <n v="46"/>
    <x v="77"/>
    <x v="9"/>
    <n v="6.9472940414669157E-2"/>
  </r>
  <r>
    <x v="7"/>
    <x v="78"/>
    <n v="18"/>
    <x v="78"/>
    <x v="14"/>
    <n v="0.3965370697781912"/>
  </r>
  <r>
    <x v="11"/>
    <x v="79"/>
    <n v="2"/>
    <x v="79"/>
    <x v="8"/>
    <n v="0.69918061043088131"/>
  </r>
  <r>
    <x v="5"/>
    <x v="80"/>
    <n v="35"/>
    <x v="80"/>
    <x v="0"/>
    <n v="1.5376263211598447"/>
  </r>
  <r>
    <x v="24"/>
    <x v="81"/>
    <n v="16"/>
    <x v="81"/>
    <x v="1"/>
    <n v="0.12862268641512511"/>
  </r>
  <r>
    <x v="40"/>
    <x v="82"/>
    <n v="41"/>
    <x v="82"/>
    <x v="3"/>
    <n v="-0.50668007537981075"/>
  </r>
  <r>
    <x v="29"/>
    <x v="83"/>
    <n v="36"/>
    <x v="83"/>
    <x v="8"/>
    <n v="1.0009434874352712"/>
  </r>
  <r>
    <x v="25"/>
    <x v="84"/>
    <n v="33"/>
    <x v="84"/>
    <x v="13"/>
    <n v="-0.63187602952828215"/>
  </r>
  <r>
    <x v="9"/>
    <x v="85"/>
    <n v="4"/>
    <x v="85"/>
    <x v="2"/>
    <n v="-0.12704711745168207"/>
  </r>
  <r>
    <x v="32"/>
    <x v="86"/>
    <n v="33"/>
    <x v="86"/>
    <x v="17"/>
    <n v="-1.2343181596005453"/>
  </r>
  <r>
    <x v="20"/>
    <x v="87"/>
    <n v="14"/>
    <x v="87"/>
    <x v="8"/>
    <n v="-1.5332480508372481"/>
  </r>
  <r>
    <x v="40"/>
    <x v="88"/>
    <n v="21"/>
    <x v="88"/>
    <x v="8"/>
    <n v="1.387873180870151"/>
  </r>
  <r>
    <x v="41"/>
    <x v="89"/>
    <n v="48"/>
    <x v="89"/>
    <x v="4"/>
    <n v="1.1494832807576425"/>
  </r>
  <r>
    <x v="1"/>
    <x v="90"/>
    <n v="20"/>
    <x v="90"/>
    <x v="13"/>
    <n v="0.78087631648077482"/>
  </r>
  <r>
    <x v="2"/>
    <x v="91"/>
    <n v="8"/>
    <x v="91"/>
    <x v="5"/>
    <n v="-0.18780756265023454"/>
  </r>
  <r>
    <x v="40"/>
    <x v="92"/>
    <n v="7"/>
    <x v="92"/>
    <x v="8"/>
    <n v="-0.99768377748725867"/>
  </r>
  <r>
    <x v="42"/>
    <x v="93"/>
    <n v="3"/>
    <x v="93"/>
    <x v="9"/>
    <n v="-1.2113720348462749"/>
  </r>
  <r>
    <x v="20"/>
    <x v="94"/>
    <n v="17"/>
    <x v="94"/>
    <x v="3"/>
    <n v="-1.1784079696220653"/>
  </r>
  <r>
    <x v="27"/>
    <x v="95"/>
    <n v="33"/>
    <x v="95"/>
    <x v="17"/>
    <n v="-0.33510404819877454"/>
  </r>
  <r>
    <x v="28"/>
    <x v="96"/>
    <n v="48"/>
    <x v="96"/>
    <x v="5"/>
    <n v="0.22263471415126315"/>
  </r>
  <r>
    <x v="9"/>
    <x v="97"/>
    <n v="12"/>
    <x v="97"/>
    <x v="3"/>
    <n v="8.4321704202764761E-2"/>
  </r>
  <r>
    <x v="42"/>
    <x v="98"/>
    <n v="22"/>
    <x v="98"/>
    <x v="17"/>
    <n v="-0.70710678118654824"/>
  </r>
  <r>
    <x v="15"/>
    <x v="99"/>
    <n v="22"/>
    <x v="99"/>
    <x v="0"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5A7793-E6B1-488B-A60A-9B676F40BA6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6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</pivotFields>
  <rowFields count="1"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Salary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7461F1-5CBB-4544-99AB-F3F8D6BE513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4" firstHeaderRow="1" firstDataRow="1" firstDataCol="1"/>
  <pivotFields count="6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axis="axisRow" showAll="0">
      <items count="101">
        <item x="19"/>
        <item x="12"/>
        <item x="87"/>
        <item x="65"/>
        <item x="60"/>
        <item x="66"/>
        <item x="75"/>
        <item x="86"/>
        <item x="74"/>
        <item x="58"/>
        <item x="34"/>
        <item x="69"/>
        <item x="37"/>
        <item x="93"/>
        <item x="29"/>
        <item x="92"/>
        <item x="14"/>
        <item x="9"/>
        <item x="72"/>
        <item x="0"/>
        <item x="94"/>
        <item x="84"/>
        <item x="98"/>
        <item x="11"/>
        <item x="63"/>
        <item x="44"/>
        <item x="25"/>
        <item x="28"/>
        <item x="82"/>
        <item x="56"/>
        <item x="43"/>
        <item x="68"/>
        <item x="18"/>
        <item x="57"/>
        <item x="26"/>
        <item x="2"/>
        <item x="91"/>
        <item x="21"/>
        <item x="85"/>
        <item x="61"/>
        <item x="8"/>
        <item x="50"/>
        <item x="6"/>
        <item x="49"/>
        <item x="81"/>
        <item x="38"/>
        <item x="70"/>
        <item x="76"/>
        <item x="77"/>
        <item x="62"/>
        <item x="95"/>
        <item x="30"/>
        <item x="33"/>
        <item x="7"/>
        <item x="59"/>
        <item x="64"/>
        <item x="35"/>
        <item x="73"/>
        <item x="4"/>
        <item x="78"/>
        <item x="13"/>
        <item x="52"/>
        <item x="97"/>
        <item x="90"/>
        <item x="32"/>
        <item x="41"/>
        <item x="53"/>
        <item x="42"/>
        <item x="96"/>
        <item x="10"/>
        <item x="79"/>
        <item x="40"/>
        <item x="71"/>
        <item x="5"/>
        <item x="83"/>
        <item x="54"/>
        <item x="51"/>
        <item x="45"/>
        <item x="46"/>
        <item x="67"/>
        <item x="89"/>
        <item x="27"/>
        <item x="24"/>
        <item x="47"/>
        <item x="39"/>
        <item x="55"/>
        <item x="3"/>
        <item x="48"/>
        <item x="17"/>
        <item x="20"/>
        <item x="31"/>
        <item x="15"/>
        <item x="16"/>
        <item x="99"/>
        <item x="88"/>
        <item x="23"/>
        <item x="22"/>
        <item x="1"/>
        <item x="80"/>
        <item x="36"/>
        <item t="default"/>
      </items>
    </pivotField>
    <pivotField showAll="0"/>
    <pivotField showAll="0"/>
  </pivotFields>
  <rowFields count="1">
    <field x="3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 of Purchase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E1C6B6-BA5D-4BA5-9470-91D2B12167B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6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axis="axisRow" dataField="1" showAll="0">
      <items count="19">
        <item x="10"/>
        <item x="12"/>
        <item x="2"/>
        <item x="9"/>
        <item x="1"/>
        <item x="0"/>
        <item x="16"/>
        <item x="17"/>
        <item x="11"/>
        <item x="15"/>
        <item x="3"/>
        <item x="13"/>
        <item x="6"/>
        <item x="7"/>
        <item x="4"/>
        <item x="8"/>
        <item x="14"/>
        <item x="5"/>
        <item t="default"/>
      </items>
    </pivotField>
    <pivotField showAll="0"/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Visit_Frequency" fld="4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9C4CEF-2BD3-4EA1-973D-057D901D8D8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0" firstDataRow="1" firstDataCol="1"/>
  <pivotFields count="6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</pivotFields>
  <rowFields count="1"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ary" fld="1" baseField="0" baseItem="0"/>
    <dataField name="Max of Salary2" fld="1" subtotal="max" baseField="0" baseItem="1"/>
    <dataField name="Min of Salary3" fld="1" subtotal="min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D3BF7-7916-4BB1-9DFE-F9C43C1EE10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6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urchase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3610-2993-4E35-BAF2-E2BFF9E25D76}">
  <dimension ref="A1:J101"/>
  <sheetViews>
    <sheetView workbookViewId="0">
      <selection activeCell="E7" sqref="E7"/>
    </sheetView>
  </sheetViews>
  <sheetFormatPr defaultRowHeight="14.6" x14ac:dyDescent="0.4"/>
  <cols>
    <col min="1" max="1" width="3.84375" bestFit="1" customWidth="1"/>
    <col min="2" max="2" width="6.84375" bestFit="1" customWidth="1"/>
    <col min="3" max="3" width="14.23046875" bestFit="1" customWidth="1"/>
    <col min="4" max="4" width="16" bestFit="1" customWidth="1"/>
    <col min="5" max="5" width="13.6914062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</v>
      </c>
    </row>
    <row r="2" spans="1:9" x14ac:dyDescent="0.4">
      <c r="A2">
        <v>56</v>
      </c>
      <c r="B2">
        <v>158767</v>
      </c>
      <c r="C2">
        <v>17</v>
      </c>
      <c r="D2">
        <v>1.9759585735163301</v>
      </c>
      <c r="E2">
        <v>7</v>
      </c>
      <c r="F2">
        <f>('Assignment_Data7 to 10'!D2-AVERAGE('Assignment_Data7 to 10'!D2:D101))/STDEV('Assignment_Data7 to 10'!D2:D101)</f>
        <v>-0.99010449790727018</v>
      </c>
    </row>
    <row r="3" spans="1:9" x14ac:dyDescent="0.4">
      <c r="A3">
        <v>46</v>
      </c>
      <c r="B3">
        <v>149375</v>
      </c>
      <c r="C3">
        <v>38</v>
      </c>
      <c r="D3">
        <v>4.8920422190097801</v>
      </c>
      <c r="E3">
        <v>5</v>
      </c>
      <c r="F3">
        <f>('Assignment_Data7 to 10'!D3-AVERAGE('Assignment_Data7 to 10'!D3:D102))/STDEV('Assignment_Data7 to 10'!D3:D102)</f>
        <v>1.4894752238525444</v>
      </c>
    </row>
    <row r="4" spans="1:9" x14ac:dyDescent="0.4">
      <c r="A4">
        <v>32</v>
      </c>
      <c r="B4">
        <v>161330</v>
      </c>
      <c r="C4">
        <v>24</v>
      </c>
      <c r="D4">
        <v>2.5723908986670398</v>
      </c>
      <c r="E4">
        <v>3</v>
      </c>
      <c r="F4">
        <f>('Assignment_Data7 to 10'!D4-AVERAGE('Assignment_Data7 to 10'!D4:D103))/STDEV('Assignment_Data7 to 10'!D4:D103)</f>
        <v>-0.47874098775186735</v>
      </c>
    </row>
    <row r="5" spans="1:9" x14ac:dyDescent="0.4">
      <c r="A5">
        <v>60</v>
      </c>
      <c r="B5">
        <v>64504</v>
      </c>
      <c r="C5">
        <v>5</v>
      </c>
      <c r="D5">
        <v>4.5681862207084496</v>
      </c>
      <c r="E5">
        <v>12</v>
      </c>
      <c r="F5">
        <f>('Assignment_Data7 to 10'!D5-AVERAGE('Assignment_Data7 to 10'!D5:D104))/STDEV('Assignment_Data7 to 10'!D5:D104)</f>
        <v>1.2262905419273622</v>
      </c>
    </row>
    <row r="6" spans="1:9" x14ac:dyDescent="0.4">
      <c r="A6">
        <v>25</v>
      </c>
      <c r="B6">
        <v>38986</v>
      </c>
      <c r="C6">
        <v>34</v>
      </c>
      <c r="D6">
        <v>3.5245545039890498</v>
      </c>
      <c r="E6">
        <v>16</v>
      </c>
      <c r="F6">
        <f>('Assignment_Data7 to 10'!D6-AVERAGE('Assignment_Data7 to 10'!D6:D105))/STDEV('Assignment_Data7 to 10'!D6:D105)</f>
        <v>0.34685247526812757</v>
      </c>
    </row>
    <row r="7" spans="1:9" x14ac:dyDescent="0.4">
      <c r="A7">
        <v>38</v>
      </c>
      <c r="B7">
        <v>86858</v>
      </c>
      <c r="C7">
        <v>6</v>
      </c>
      <c r="D7">
        <v>4.1792452141665901</v>
      </c>
      <c r="E7">
        <v>19</v>
      </c>
      <c r="F7">
        <f>('Assignment_Data7 to 10'!D7-AVERAGE('Assignment_Data7 to 10'!D7:D106))/STDEV('Assignment_Data7 to 10'!D7:D106)</f>
        <v>0.90810624085433544</v>
      </c>
    </row>
    <row r="8" spans="1:9" x14ac:dyDescent="0.4">
      <c r="A8">
        <v>56</v>
      </c>
      <c r="B8">
        <v>154312</v>
      </c>
      <c r="C8">
        <v>22</v>
      </c>
      <c r="D8">
        <v>3.01054837242076</v>
      </c>
      <c r="E8">
        <v>5</v>
      </c>
      <c r="F8">
        <f>('Assignment_Data7 to 10'!D8-AVERAGE('Assignment_Data7 to 10'!D8:D107))/STDEV('Assignment_Data7 to 10'!D8:D107)</f>
        <v>-8.0447987192587611E-2</v>
      </c>
    </row>
    <row r="9" spans="1:9" x14ac:dyDescent="0.4">
      <c r="A9">
        <v>36</v>
      </c>
      <c r="B9">
        <v>37666</v>
      </c>
      <c r="C9">
        <v>11</v>
      </c>
      <c r="D9">
        <v>3.3076155385054302</v>
      </c>
      <c r="E9">
        <v>14</v>
      </c>
      <c r="F9">
        <f>('Assignment_Data7 to 10'!D9-AVERAGE('Assignment_Data7 to 10'!D9:D108))/STDEV('Assignment_Data7 to 10'!D9:D108)</f>
        <v>0.17128893700262091</v>
      </c>
    </row>
    <row r="10" spans="1:9" x14ac:dyDescent="0.4">
      <c r="A10">
        <v>40</v>
      </c>
      <c r="B10">
        <v>63660</v>
      </c>
      <c r="C10">
        <v>48</v>
      </c>
      <c r="D10">
        <v>2.9700707752754498</v>
      </c>
      <c r="E10">
        <v>5</v>
      </c>
      <c r="F10">
        <f>('Assignment_Data7 to 10'!D10-AVERAGE('Assignment_Data7 to 10'!D10:D109))/STDEV('Assignment_Data7 to 10'!D10:D109)</f>
        <v>-0.11277554864966741</v>
      </c>
      <c r="I10" t="s">
        <v>20</v>
      </c>
    </row>
    <row r="11" spans="1:9" x14ac:dyDescent="0.4">
      <c r="A11">
        <v>28</v>
      </c>
      <c r="B11">
        <v>159633</v>
      </c>
      <c r="C11">
        <v>16</v>
      </c>
      <c r="D11">
        <v>1.78097195119217</v>
      </c>
      <c r="E11">
        <v>15</v>
      </c>
      <c r="F11">
        <f>('Assignment_Data7 to 10'!D11-AVERAGE('Assignment_Data7 to 10'!D11:D110))/STDEV('Assignment_Data7 to 10'!D11:D110)</f>
        <v>-1.1119649677301573</v>
      </c>
      <c r="H11" t="s">
        <v>20</v>
      </c>
      <c r="I11">
        <f>AVERAGE(D2:D101)</f>
        <v>3.135648299226133</v>
      </c>
    </row>
    <row r="12" spans="1:9" x14ac:dyDescent="0.4">
      <c r="A12">
        <v>28</v>
      </c>
      <c r="B12">
        <v>51854</v>
      </c>
      <c r="C12">
        <v>33</v>
      </c>
      <c r="D12">
        <v>3.88980846104602</v>
      </c>
      <c r="E12">
        <v>17</v>
      </c>
      <c r="F12">
        <f>('Assignment_Data7 to 10'!D12-AVERAGE('Assignment_Data7 to 10'!D12:D111))/STDEV('Assignment_Data7 to 10'!D12:D111)</f>
        <v>0.64752972559783639</v>
      </c>
    </row>
    <row r="13" spans="1:9" x14ac:dyDescent="0.4">
      <c r="A13">
        <v>41</v>
      </c>
      <c r="B13">
        <v>89505</v>
      </c>
      <c r="C13">
        <v>9</v>
      </c>
      <c r="D13">
        <v>2.1230894497634201</v>
      </c>
      <c r="E13">
        <v>14</v>
      </c>
      <c r="F13">
        <f>('Assignment_Data7 to 10'!D13-AVERAGE('Assignment_Data7 to 10'!D13:D112))/STDEV('Assignment_Data7 to 10'!D13:D112)</f>
        <v>-0.82821724033921351</v>
      </c>
      <c r="H13" t="s">
        <v>56</v>
      </c>
      <c r="I13">
        <f>_xlfn.STDEV.S(D2:D101)</f>
        <v>1.1712801306942608</v>
      </c>
    </row>
    <row r="14" spans="1:9" x14ac:dyDescent="0.4">
      <c r="A14">
        <v>53</v>
      </c>
      <c r="B14">
        <v>129488</v>
      </c>
      <c r="C14">
        <v>6</v>
      </c>
      <c r="D14">
        <v>1.09726386572581</v>
      </c>
      <c r="E14">
        <v>5</v>
      </c>
      <c r="F14">
        <f>('Assignment_Data7 to 10'!D14-AVERAGE('Assignment_Data7 to 10'!D14:D113))/STDEV('Assignment_Data7 to 10'!D14:D113)</f>
        <v>-1.6945110844959017</v>
      </c>
    </row>
    <row r="15" spans="1:9" x14ac:dyDescent="0.4">
      <c r="A15">
        <v>57</v>
      </c>
      <c r="B15">
        <v>47662</v>
      </c>
      <c r="C15">
        <v>16</v>
      </c>
      <c r="D15">
        <v>3.5818891836286699</v>
      </c>
      <c r="E15">
        <v>12</v>
      </c>
      <c r="F15">
        <f>('Assignment_Data7 to 10'!D15-AVERAGE('Assignment_Data7 to 10'!D15:D114))/STDEV('Assignment_Data7 to 10'!D15:D114)</f>
        <v>0.36911517846716091</v>
      </c>
      <c r="H15" t="s">
        <v>58</v>
      </c>
      <c r="I15">
        <f>I11-(2*I13)</f>
        <v>0.79308803783761128</v>
      </c>
    </row>
    <row r="16" spans="1:9" x14ac:dyDescent="0.4">
      <c r="A16">
        <v>41</v>
      </c>
      <c r="B16">
        <v>33392</v>
      </c>
      <c r="C16">
        <v>29</v>
      </c>
      <c r="D16">
        <v>1.70844271762819</v>
      </c>
      <c r="E16">
        <v>16</v>
      </c>
      <c r="F16">
        <f>('Assignment_Data7 to 10'!D16-AVERAGE('Assignment_Data7 to 10'!D16:D115))/STDEV('Assignment_Data7 to 10'!D16:D115)</f>
        <v>-1.2057370463306696</v>
      </c>
    </row>
    <row r="17" spans="1:9" x14ac:dyDescent="0.4">
      <c r="A17">
        <v>20</v>
      </c>
      <c r="B17">
        <v>55535</v>
      </c>
      <c r="C17">
        <v>3</v>
      </c>
      <c r="D17">
        <v>4.7618343374116501</v>
      </c>
      <c r="E17">
        <v>16</v>
      </c>
      <c r="F17">
        <f>('Assignment_Data7 to 10'!D17-AVERAGE('Assignment_Data7 to 10'!D17:D116))/STDEV('Assignment_Data7 to 10'!D17:D116)</f>
        <v>1.3545469848136515</v>
      </c>
      <c r="H17" t="s">
        <v>57</v>
      </c>
      <c r="I17">
        <f>I11+(2*I13)</f>
        <v>5.4782085606146547</v>
      </c>
    </row>
    <row r="18" spans="1:9" x14ac:dyDescent="0.4">
      <c r="A18">
        <v>39</v>
      </c>
      <c r="B18">
        <v>138569</v>
      </c>
      <c r="C18">
        <v>20</v>
      </c>
      <c r="D18">
        <v>4.8157143080103397</v>
      </c>
      <c r="E18">
        <v>7</v>
      </c>
      <c r="F18">
        <f>('Assignment_Data7 to 10'!D18-AVERAGE('Assignment_Data7 to 10'!D18:D117))/STDEV('Assignment_Data7 to 10'!D18:D117)</f>
        <v>1.4235272142077389</v>
      </c>
    </row>
    <row r="19" spans="1:9" x14ac:dyDescent="0.4">
      <c r="A19">
        <v>19</v>
      </c>
      <c r="B19">
        <v>77256</v>
      </c>
      <c r="C19">
        <v>36</v>
      </c>
      <c r="D19">
        <v>4.6594575608817896</v>
      </c>
      <c r="E19">
        <v>4</v>
      </c>
      <c r="F19">
        <f>('Assignment_Data7 to 10'!D19-AVERAGE('Assignment_Data7 to 10'!D19:D118))/STDEV('Assignment_Data7 to 10'!D19:D118)</f>
        <v>1.3165313219022723</v>
      </c>
    </row>
    <row r="20" spans="1:9" x14ac:dyDescent="0.4">
      <c r="A20">
        <v>41</v>
      </c>
      <c r="B20">
        <v>114135</v>
      </c>
      <c r="C20">
        <v>19</v>
      </c>
      <c r="D20">
        <v>2.48063480102177</v>
      </c>
      <c r="E20">
        <v>1</v>
      </c>
      <c r="F20">
        <f>('Assignment_Data7 to 10'!D20-AVERAGE('Assignment_Data7 to 10'!D20:D119))/STDEV('Assignment_Data7 to 10'!D20:D119)</f>
        <v>-0.53094819008688288</v>
      </c>
    </row>
    <row r="21" spans="1:9" x14ac:dyDescent="0.4">
      <c r="A21">
        <v>61</v>
      </c>
      <c r="B21">
        <v>152478</v>
      </c>
      <c r="C21">
        <v>26</v>
      </c>
      <c r="D21">
        <v>1.0618264661154599</v>
      </c>
      <c r="E21">
        <v>5</v>
      </c>
      <c r="F21">
        <f>('Assignment_Data7 to 10'!D21-AVERAGE('Assignment_Data7 to 10'!D21:D120))/STDEV('Assignment_Data7 to 10'!D21:D120)</f>
        <v>-1.7472845919087894</v>
      </c>
    </row>
    <row r="22" spans="1:9" x14ac:dyDescent="0.4">
      <c r="A22">
        <v>47</v>
      </c>
      <c r="B22">
        <v>60222</v>
      </c>
      <c r="C22">
        <v>3</v>
      </c>
      <c r="D22">
        <v>4.7132742503509002</v>
      </c>
      <c r="E22">
        <v>10</v>
      </c>
      <c r="F22">
        <f>('Assignment_Data7 to 10'!D22-AVERAGE('Assignment_Data7 to 10'!D22:D121))/STDEV('Assignment_Data7 to 10'!D22:D121)</f>
        <v>1.3687446692709024</v>
      </c>
    </row>
    <row r="23" spans="1:9" x14ac:dyDescent="0.4">
      <c r="A23">
        <v>55</v>
      </c>
      <c r="B23">
        <v>102373</v>
      </c>
      <c r="C23">
        <v>19</v>
      </c>
      <c r="D23">
        <v>2.7127365932692502</v>
      </c>
      <c r="E23">
        <v>5</v>
      </c>
      <c r="F23">
        <f>('Assignment_Data7 to 10'!D23-AVERAGE('Assignment_Data7 to 10'!D23:D122))/STDEV('Assignment_Data7 to 10'!D23:D122)</f>
        <v>-0.3481878276590073</v>
      </c>
    </row>
    <row r="24" spans="1:9" x14ac:dyDescent="0.4">
      <c r="A24">
        <v>19</v>
      </c>
      <c r="B24">
        <v>148684</v>
      </c>
      <c r="C24">
        <v>20</v>
      </c>
      <c r="D24">
        <v>4.8666192761746698</v>
      </c>
      <c r="E24">
        <v>4</v>
      </c>
      <c r="F24">
        <f>('Assignment_Data7 to 10'!D24-AVERAGE('Assignment_Data7 to 10'!D24:D123))/STDEV('Assignment_Data7 to 10'!D24:D123)</f>
        <v>1.5145951097806338</v>
      </c>
    </row>
    <row r="25" spans="1:9" x14ac:dyDescent="0.4">
      <c r="A25">
        <v>38</v>
      </c>
      <c r="B25">
        <v>35965</v>
      </c>
      <c r="C25">
        <v>32</v>
      </c>
      <c r="D25">
        <v>4.8544799083570096</v>
      </c>
      <c r="E25">
        <v>2</v>
      </c>
      <c r="F25">
        <f>('Assignment_Data7 to 10'!D25-AVERAGE('Assignment_Data7 to 10'!D25:D124))/STDEV('Assignment_Data7 to 10'!D25:D124)</f>
        <v>1.5371990299176692</v>
      </c>
    </row>
    <row r="26" spans="1:9" x14ac:dyDescent="0.4">
      <c r="A26">
        <v>50</v>
      </c>
      <c r="B26">
        <v>49538</v>
      </c>
      <c r="C26">
        <v>7</v>
      </c>
      <c r="D26">
        <v>4.4120378218694398</v>
      </c>
      <c r="E26">
        <v>10</v>
      </c>
      <c r="F26">
        <f>('Assignment_Data7 to 10'!D26-AVERAGE('Assignment_Data7 to 10'!D26:D125))/STDEV('Assignment_Data7 to 10'!D26:D125)</f>
        <v>1.1819269459631041</v>
      </c>
    </row>
    <row r="27" spans="1:9" x14ac:dyDescent="0.4">
      <c r="A27">
        <v>29</v>
      </c>
      <c r="B27">
        <v>133066</v>
      </c>
      <c r="C27">
        <v>41</v>
      </c>
      <c r="D27">
        <v>2.1777955682783401</v>
      </c>
      <c r="E27">
        <v>19</v>
      </c>
      <c r="F27">
        <f>('Assignment_Data7 to 10'!D27-AVERAGE('Assignment_Data7 to 10'!D27:D126))/STDEV('Assignment_Data7 to 10'!D27:D126)</f>
        <v>-0.77481087575833751</v>
      </c>
    </row>
    <row r="28" spans="1:9" x14ac:dyDescent="0.4">
      <c r="A28">
        <v>39</v>
      </c>
      <c r="B28">
        <v>138252</v>
      </c>
      <c r="C28">
        <v>33</v>
      </c>
      <c r="D28">
        <v>2.5403909144077002</v>
      </c>
      <c r="E28">
        <v>1</v>
      </c>
      <c r="F28">
        <f>('Assignment_Data7 to 10'!D28-AVERAGE('Assignment_Data7 to 10'!D28:D127))/STDEV('Assignment_Data7 to 10'!D28:D127)</f>
        <v>-0.46337547109534005</v>
      </c>
    </row>
    <row r="29" spans="1:9" x14ac:dyDescent="0.4">
      <c r="A29">
        <v>61</v>
      </c>
      <c r="B29">
        <v>164182</v>
      </c>
      <c r="C29">
        <v>40</v>
      </c>
      <c r="D29">
        <v>4.4045466860674196</v>
      </c>
      <c r="E29">
        <v>5</v>
      </c>
      <c r="F29">
        <f>('Assignment_Data7 to 10'!D29-AVERAGE('Assignment_Data7 to 10'!D29:D128))/STDEV('Assignment_Data7 to 10'!D29:D128)</f>
        <v>1.1681286001626054</v>
      </c>
    </row>
    <row r="30" spans="1:9" x14ac:dyDescent="0.4">
      <c r="A30">
        <v>42</v>
      </c>
      <c r="B30">
        <v>123806</v>
      </c>
      <c r="C30">
        <v>39</v>
      </c>
      <c r="D30">
        <v>2.2676880206251102</v>
      </c>
      <c r="E30">
        <v>13</v>
      </c>
      <c r="F30">
        <f>('Assignment_Data7 to 10'!D30-AVERAGE('Assignment_Data7 to 10'!D30:D129))/STDEV('Assignment_Data7 to 10'!D30:D129)</f>
        <v>-0.69206629274256648</v>
      </c>
    </row>
    <row r="31" spans="1:9" x14ac:dyDescent="0.4">
      <c r="A31">
        <v>44</v>
      </c>
      <c r="B31">
        <v>162982</v>
      </c>
      <c r="C31">
        <v>18</v>
      </c>
      <c r="D31">
        <v>1.67797098674437</v>
      </c>
      <c r="E31">
        <v>4</v>
      </c>
      <c r="F31">
        <f>('Assignment_Data7 to 10'!D31-AVERAGE('Assignment_Data7 to 10'!D31:D130))/STDEV('Assignment_Data7 to 10'!D31:D130)</f>
        <v>-1.2160832679812246</v>
      </c>
    </row>
    <row r="32" spans="1:9" x14ac:dyDescent="0.4">
      <c r="A32">
        <v>59</v>
      </c>
      <c r="B32">
        <v>135989</v>
      </c>
      <c r="C32">
        <v>40</v>
      </c>
      <c r="D32">
        <v>3.2272050498334002</v>
      </c>
      <c r="E32">
        <v>16</v>
      </c>
      <c r="F32">
        <f>('Assignment_Data7 to 10'!D32-AVERAGE('Assignment_Data7 to 10'!D32:D131))/STDEV('Assignment_Data7 to 10'!D32:D131)</f>
        <v>0.12476036765789184</v>
      </c>
    </row>
    <row r="33" spans="1:6" x14ac:dyDescent="0.4">
      <c r="A33">
        <v>45</v>
      </c>
      <c r="B33">
        <v>115982</v>
      </c>
      <c r="C33">
        <v>1</v>
      </c>
      <c r="D33">
        <v>4.7446190966431203</v>
      </c>
      <c r="E33">
        <v>16</v>
      </c>
      <c r="F33">
        <f>('Assignment_Data7 to 10'!D33-AVERAGE('Assignment_Data7 to 10'!D33:D132))/STDEV('Assignment_Data7 to 10'!D33:D132)</f>
        <v>1.4508274551617439</v>
      </c>
    </row>
    <row r="34" spans="1:6" x14ac:dyDescent="0.4">
      <c r="A34">
        <v>33</v>
      </c>
      <c r="B34">
        <v>146626</v>
      </c>
      <c r="C34">
        <v>11</v>
      </c>
      <c r="D34">
        <v>3.7841191866998898</v>
      </c>
      <c r="E34">
        <v>2</v>
      </c>
      <c r="F34">
        <f>('Assignment_Data7 to 10'!D34-AVERAGE('Assignment_Data7 to 10'!D34:D133))/STDEV('Assignment_Data7 to 10'!D34:D133)</f>
        <v>0.63879177337680659</v>
      </c>
    </row>
    <row r="35" spans="1:6" x14ac:dyDescent="0.4">
      <c r="A35">
        <v>32</v>
      </c>
      <c r="B35">
        <v>144176</v>
      </c>
      <c r="C35">
        <v>28</v>
      </c>
      <c r="D35">
        <v>3.2802446803574599</v>
      </c>
      <c r="E35">
        <v>17</v>
      </c>
      <c r="F35">
        <f>('Assignment_Data7 to 10'!D35-AVERAGE('Assignment_Data7 to 10'!D35:D134))/STDEV('Assignment_Data7 to 10'!D35:D134)</f>
        <v>0.2036101432055627</v>
      </c>
    </row>
    <row r="36" spans="1:6" x14ac:dyDescent="0.4">
      <c r="A36">
        <v>64</v>
      </c>
      <c r="B36">
        <v>156278</v>
      </c>
      <c r="C36">
        <v>25</v>
      </c>
      <c r="D36">
        <v>1.3887059750830699</v>
      </c>
      <c r="E36">
        <v>12</v>
      </c>
      <c r="F36">
        <f>('Assignment_Data7 to 10'!D36-AVERAGE('Assignment_Data7 to 10'!D36:D135))/STDEV('Assignment_Data7 to 10'!D36:D135)</f>
        <v>-1.4414494883224609</v>
      </c>
    </row>
    <row r="37" spans="1:6" x14ac:dyDescent="0.4">
      <c r="A37">
        <v>61</v>
      </c>
      <c r="B37">
        <v>147409</v>
      </c>
      <c r="C37">
        <v>23</v>
      </c>
      <c r="D37">
        <v>3.4600289067966701</v>
      </c>
      <c r="E37">
        <v>18</v>
      </c>
      <c r="F37">
        <f>('Assignment_Data7 to 10'!D37-AVERAGE('Assignment_Data7 to 10'!D37:D136))/STDEV('Assignment_Data7 to 10'!D37:D136)</f>
        <v>0.34250229361128692</v>
      </c>
    </row>
    <row r="38" spans="1:6" x14ac:dyDescent="0.4">
      <c r="A38">
        <v>20</v>
      </c>
      <c r="B38">
        <v>48419</v>
      </c>
      <c r="C38">
        <v>31</v>
      </c>
      <c r="D38">
        <v>4.9602154004170496</v>
      </c>
      <c r="E38">
        <v>3</v>
      </c>
      <c r="F38">
        <f>('Assignment_Data7 to 10'!D38-AVERAGE('Assignment_Data7 to 10'!D38:D137))/STDEV('Assignment_Data7 to 10'!D38:D137)</f>
        <v>1.6537595265337273</v>
      </c>
    </row>
    <row r="39" spans="1:6" x14ac:dyDescent="0.4">
      <c r="A39">
        <v>54</v>
      </c>
      <c r="B39">
        <v>75015</v>
      </c>
      <c r="C39">
        <v>30</v>
      </c>
      <c r="D39">
        <v>1.5603360609460899</v>
      </c>
      <c r="E39">
        <v>1</v>
      </c>
      <c r="F39">
        <f>('Assignment_Data7 to 10'!D39-AVERAGE('Assignment_Data7 to 10'!D39:D138))/STDEV('Assignment_Data7 to 10'!D39:D138)</f>
        <v>-1.3038594156541949</v>
      </c>
    </row>
    <row r="40" spans="1:6" x14ac:dyDescent="0.4">
      <c r="A40">
        <v>24</v>
      </c>
      <c r="B40">
        <v>147096</v>
      </c>
      <c r="C40">
        <v>42</v>
      </c>
      <c r="D40">
        <v>3.0733186094549398</v>
      </c>
      <c r="E40">
        <v>1</v>
      </c>
      <c r="F40">
        <f>('Assignment_Data7 to 10'!D40-AVERAGE('Assignment_Data7 to 10'!D40:D139))/STDEV('Assignment_Data7 to 10'!D40:D139)</f>
        <v>1.4006161499218326E-2</v>
      </c>
    </row>
    <row r="41" spans="1:6" x14ac:dyDescent="0.4">
      <c r="A41">
        <v>38</v>
      </c>
      <c r="B41">
        <v>132059</v>
      </c>
      <c r="C41">
        <v>35</v>
      </c>
      <c r="D41">
        <v>4.5094922877118204</v>
      </c>
      <c r="E41">
        <v>19</v>
      </c>
      <c r="F41">
        <f>('Assignment_Data7 to 10'!D41-AVERAGE('Assignment_Data7 to 10'!D41:D140))/STDEV('Assignment_Data7 to 10'!D41:D140)</f>
        <v>1.282089266751429</v>
      </c>
    </row>
    <row r="42" spans="1:6" x14ac:dyDescent="0.4">
      <c r="A42">
        <v>26</v>
      </c>
      <c r="B42">
        <v>135687</v>
      </c>
      <c r="C42">
        <v>7</v>
      </c>
      <c r="D42">
        <v>3.9630744710168102</v>
      </c>
      <c r="E42">
        <v>11</v>
      </c>
      <c r="F42">
        <f>('Assignment_Data7 to 10'!D42-AVERAGE('Assignment_Data7 to 10'!D42:D141))/STDEV('Assignment_Data7 to 10'!D42:D141)</f>
        <v>0.82574546763589307</v>
      </c>
    </row>
    <row r="43" spans="1:6" x14ac:dyDescent="0.4">
      <c r="A43">
        <v>56</v>
      </c>
      <c r="B43">
        <v>112939</v>
      </c>
      <c r="C43">
        <v>16</v>
      </c>
      <c r="D43">
        <v>3.7880629639810701</v>
      </c>
      <c r="E43">
        <v>5</v>
      </c>
      <c r="F43">
        <f>('Assignment_Data7 to 10'!D43-AVERAGE('Assignment_Data7 to 10'!D43:D142))/STDEV('Assignment_Data7 to 10'!D43:D142)</f>
        <v>0.68253882526133924</v>
      </c>
    </row>
    <row r="44" spans="1:6" x14ac:dyDescent="0.4">
      <c r="A44">
        <v>35</v>
      </c>
      <c r="B44">
        <v>174213</v>
      </c>
      <c r="C44">
        <v>26</v>
      </c>
      <c r="D44">
        <v>3.80993633594843</v>
      </c>
      <c r="E44">
        <v>12</v>
      </c>
      <c r="F44">
        <f>('Assignment_Data7 to 10'!D44-AVERAGE('Assignment_Data7 to 10'!D44:D143))/STDEV('Assignment_Data7 to 10'!D44:D143)</f>
        <v>0.71040698773411337</v>
      </c>
    </row>
    <row r="45" spans="1:6" x14ac:dyDescent="0.4">
      <c r="A45">
        <v>21</v>
      </c>
      <c r="B45">
        <v>130878</v>
      </c>
      <c r="C45">
        <v>48</v>
      </c>
      <c r="D45">
        <v>2.4379646048790198</v>
      </c>
      <c r="E45">
        <v>3</v>
      </c>
      <c r="F45">
        <f>('Assignment_Data7 to 10'!D45-AVERAGE('Assignment_Data7 to 10'!D45:D144))/STDEV('Assignment_Data7 to 10'!D45:D144)</f>
        <v>-0.48449073961158856</v>
      </c>
    </row>
    <row r="46" spans="1:6" x14ac:dyDescent="0.4">
      <c r="A46">
        <v>42</v>
      </c>
      <c r="B46">
        <v>87623</v>
      </c>
      <c r="C46">
        <v>49</v>
      </c>
      <c r="D46">
        <v>2.1743673770579699</v>
      </c>
      <c r="E46">
        <v>1</v>
      </c>
      <c r="F46">
        <f>('Assignment_Data7 to 10'!D46-AVERAGE('Assignment_Data7 to 10'!D46:D145))/STDEV('Assignment_Data7 to 10'!D46:D145)</f>
        <v>-0.71955216046005865</v>
      </c>
    </row>
    <row r="47" spans="1:6" x14ac:dyDescent="0.4">
      <c r="A47">
        <v>31</v>
      </c>
      <c r="B47">
        <v>100450</v>
      </c>
      <c r="C47">
        <v>2</v>
      </c>
      <c r="D47">
        <v>4.23744462191405</v>
      </c>
      <c r="E47">
        <v>1</v>
      </c>
      <c r="F47">
        <f>('Assignment_Data7 to 10'!D47-AVERAGE('Assignment_Data7 to 10'!D47:D146))/STDEV('Assignment_Data7 to 10'!D47:D146)</f>
        <v>1.0611847933532845</v>
      </c>
    </row>
    <row r="48" spans="1:6" x14ac:dyDescent="0.4">
      <c r="A48">
        <v>26</v>
      </c>
      <c r="B48">
        <v>118426</v>
      </c>
      <c r="C48">
        <v>1</v>
      </c>
      <c r="D48">
        <v>4.2404535787167204</v>
      </c>
      <c r="E48">
        <v>8</v>
      </c>
      <c r="F48">
        <f>('Assignment_Data7 to 10'!D48-AVERAGE('Assignment_Data7 to 10'!D48:D147))/STDEV('Assignment_Data7 to 10'!D48:D147)</f>
        <v>1.0849532787703633</v>
      </c>
    </row>
    <row r="49" spans="1:6" x14ac:dyDescent="0.4">
      <c r="A49">
        <v>43</v>
      </c>
      <c r="B49">
        <v>142845</v>
      </c>
      <c r="C49">
        <v>48</v>
      </c>
      <c r="D49">
        <v>4.4682892743204103</v>
      </c>
      <c r="E49">
        <v>10</v>
      </c>
      <c r="F49">
        <f>('Assignment_Data7 to 10'!D49-AVERAGE('Assignment_Data7 to 10'!D49:D148))/STDEV('Assignment_Data7 to 10'!D49:D148)</f>
        <v>1.3059526820290699</v>
      </c>
    </row>
    <row r="50" spans="1:6" x14ac:dyDescent="0.4">
      <c r="A50">
        <v>19</v>
      </c>
      <c r="B50">
        <v>178371</v>
      </c>
      <c r="C50">
        <v>12</v>
      </c>
      <c r="D50">
        <v>4.6529622102258799</v>
      </c>
      <c r="E50">
        <v>11</v>
      </c>
      <c r="F50">
        <f>('Assignment_Data7 to 10'!D50-AVERAGE('Assignment_Data7 to 10'!D50:D149))/STDEV('Assignment_Data7 to 10'!D50:D149)</f>
        <v>1.5028013766612041</v>
      </c>
    </row>
    <row r="51" spans="1:6" x14ac:dyDescent="0.4">
      <c r="A51">
        <v>37</v>
      </c>
      <c r="B51">
        <v>68585</v>
      </c>
      <c r="C51">
        <v>5</v>
      </c>
      <c r="D51">
        <v>3.0453695954437499</v>
      </c>
      <c r="E51">
        <v>12</v>
      </c>
      <c r="F51">
        <f>('Assignment_Data7 to 10'!D51-AVERAGE('Assignment_Data7 to 10'!D51:D150))/STDEV('Assignment_Data7 to 10'!D51:D150)</f>
        <v>0.12372311691413845</v>
      </c>
    </row>
    <row r="52" spans="1:6" x14ac:dyDescent="0.4">
      <c r="A52">
        <v>45</v>
      </c>
      <c r="B52">
        <v>134225</v>
      </c>
      <c r="C52">
        <v>37</v>
      </c>
      <c r="D52">
        <v>3.00606517874879</v>
      </c>
      <c r="E52">
        <v>13</v>
      </c>
      <c r="F52">
        <f>('Assignment_Data7 to 10'!D52-AVERAGE('Assignment_Data7 to 10'!D52:D151))/STDEV('Assignment_Data7 to 10'!D52:D151)</f>
        <v>9.0358833157368285E-2</v>
      </c>
    </row>
    <row r="53" spans="1:6" x14ac:dyDescent="0.4">
      <c r="A53">
        <v>64</v>
      </c>
      <c r="B53">
        <v>89044</v>
      </c>
      <c r="C53">
        <v>32</v>
      </c>
      <c r="D53">
        <v>4.1931807158670997</v>
      </c>
      <c r="E53">
        <v>12</v>
      </c>
      <c r="F53">
        <f>('Assignment_Data7 to 10'!D53-AVERAGE('Assignment_Data7 to 10'!D53:D152))/STDEV('Assignment_Data7 to 10'!D53:D152)</f>
        <v>1.1253601746567647</v>
      </c>
    </row>
    <row r="54" spans="1:6" x14ac:dyDescent="0.4">
      <c r="A54">
        <v>24</v>
      </c>
      <c r="B54">
        <v>134556</v>
      </c>
      <c r="C54">
        <v>9</v>
      </c>
      <c r="D54">
        <v>3.5998557231110602</v>
      </c>
      <c r="E54">
        <v>14</v>
      </c>
      <c r="F54">
        <f>('Assignment_Data7 to 10'!D54-AVERAGE('Assignment_Data7 to 10'!D54:D153))/STDEV('Assignment_Data7 to 10'!D54:D153)</f>
        <v>0.63393820662430045</v>
      </c>
    </row>
    <row r="55" spans="1:6" x14ac:dyDescent="0.4">
      <c r="A55">
        <v>61</v>
      </c>
      <c r="B55">
        <v>27693</v>
      </c>
      <c r="C55">
        <v>41</v>
      </c>
      <c r="D55">
        <v>3.8078675090308098</v>
      </c>
      <c r="E55">
        <v>2</v>
      </c>
      <c r="F55">
        <f>('Assignment_Data7 to 10'!D55-AVERAGE('Assignment_Data7 to 10'!D55:D154))/STDEV('Assignment_Data7 to 10'!D55:D154)</f>
        <v>0.82392898113684077</v>
      </c>
    </row>
    <row r="56" spans="1:6" x14ac:dyDescent="0.4">
      <c r="A56">
        <v>25</v>
      </c>
      <c r="B56">
        <v>120259</v>
      </c>
      <c r="C56">
        <v>35</v>
      </c>
      <c r="D56">
        <v>4.1831706777443998</v>
      </c>
      <c r="E56">
        <v>19</v>
      </c>
      <c r="F56">
        <f>('Assignment_Data7 to 10'!D56-AVERAGE('Assignment_Data7 to 10'!D56:D155))/STDEV('Assignment_Data7 to 10'!D56:D155)</f>
        <v>1.1637532729613191</v>
      </c>
    </row>
    <row r="57" spans="1:6" x14ac:dyDescent="0.4">
      <c r="A57">
        <v>64</v>
      </c>
      <c r="B57">
        <v>50939</v>
      </c>
      <c r="C57">
        <v>19</v>
      </c>
      <c r="D57">
        <v>4.5600213672702603</v>
      </c>
      <c r="E57">
        <v>18</v>
      </c>
      <c r="F57">
        <f>('Assignment_Data7 to 10'!D57-AVERAGE('Assignment_Data7 to 10'!D57:D156))/STDEV('Assignment_Data7 to 10'!D57:D156)</f>
        <v>1.5223826082721084</v>
      </c>
    </row>
    <row r="58" spans="1:6" x14ac:dyDescent="0.4">
      <c r="A58">
        <v>52</v>
      </c>
      <c r="B58">
        <v>177906</v>
      </c>
      <c r="C58">
        <v>48</v>
      </c>
      <c r="D58">
        <v>2.3519806274061401</v>
      </c>
      <c r="E58">
        <v>3</v>
      </c>
      <c r="F58">
        <f>('Assignment_Data7 to 10'!D58-AVERAGE('Assignment_Data7 to 10'!D58:D157))/STDEV('Assignment_Data7 to 10'!D58:D157)</f>
        <v>-0.36803276107197092</v>
      </c>
    </row>
    <row r="59" spans="1:6" x14ac:dyDescent="0.4">
      <c r="A59">
        <v>31</v>
      </c>
      <c r="B59">
        <v>43047</v>
      </c>
      <c r="C59">
        <v>16</v>
      </c>
      <c r="D59">
        <v>2.5023318105597698</v>
      </c>
      <c r="E59">
        <v>17</v>
      </c>
      <c r="F59">
        <f>('Assignment_Data7 to 10'!D59-AVERAGE('Assignment_Data7 to 10'!D59:D158))/STDEV('Assignment_Data7 to 10'!D59:D158)</f>
        <v>-0.24131953026093972</v>
      </c>
    </row>
    <row r="60" spans="1:6" x14ac:dyDescent="0.4">
      <c r="A60">
        <v>34</v>
      </c>
      <c r="B60">
        <v>51105</v>
      </c>
      <c r="C60">
        <v>3</v>
      </c>
      <c r="D60">
        <v>1.37592775936347</v>
      </c>
      <c r="E60">
        <v>8</v>
      </c>
      <c r="F60">
        <f>('Assignment_Data7 to 10'!D60-AVERAGE('Assignment_Data7 to 10'!D60:D159))/STDEV('Assignment_Data7 to 10'!D60:D159)</f>
        <v>-1.2181147260666292</v>
      </c>
    </row>
    <row r="61" spans="1:6" x14ac:dyDescent="0.4">
      <c r="A61">
        <v>53</v>
      </c>
      <c r="B61">
        <v>100766</v>
      </c>
      <c r="C61">
        <v>20</v>
      </c>
      <c r="D61">
        <v>3.3131205639846901</v>
      </c>
      <c r="E61">
        <v>10</v>
      </c>
      <c r="F61">
        <f>('Assignment_Data7 to 10'!D61-AVERAGE('Assignment_Data7 to 10'!D61:D160))/STDEV('Assignment_Data7 to 10'!D61:D160)</f>
        <v>0.42978200540378442</v>
      </c>
    </row>
    <row r="62" spans="1:6" x14ac:dyDescent="0.4">
      <c r="A62">
        <v>57</v>
      </c>
      <c r="B62">
        <v>171779</v>
      </c>
      <c r="C62">
        <v>24</v>
      </c>
      <c r="D62">
        <v>1.1437690951869599</v>
      </c>
      <c r="E62">
        <v>2</v>
      </c>
      <c r="F62">
        <f>('Assignment_Data7 to 10'!D62-AVERAGE('Assignment_Data7 to 10'!D62:D161))/STDEV('Assignment_Data7 to 10'!D62:D161)</f>
        <v>-1.4324901654900659</v>
      </c>
    </row>
    <row r="63" spans="1:6" x14ac:dyDescent="0.4">
      <c r="A63">
        <v>21</v>
      </c>
      <c r="B63">
        <v>178048</v>
      </c>
      <c r="C63">
        <v>33</v>
      </c>
      <c r="D63">
        <v>2.8623920725298402</v>
      </c>
      <c r="E63">
        <v>19</v>
      </c>
      <c r="F63">
        <f>('Assignment_Data7 to 10'!D63-AVERAGE('Assignment_Data7 to 10'!D63:D162))/STDEV('Assignment_Data7 to 10'!D63:D162)</f>
        <v>1.1230149012135513E-2</v>
      </c>
    </row>
    <row r="64" spans="1:6" x14ac:dyDescent="0.4">
      <c r="A64">
        <v>19</v>
      </c>
      <c r="B64">
        <v>69262</v>
      </c>
      <c r="C64">
        <v>24</v>
      </c>
      <c r="D64">
        <v>3.1705785388302998</v>
      </c>
      <c r="E64">
        <v>9</v>
      </c>
      <c r="F64">
        <f>('Assignment_Data7 to 10'!D64-AVERAGE('Assignment_Data7 to 10'!D64:D163))/STDEV('Assignment_Data7 to 10'!D64:D163)</f>
        <v>0.2771971928862938</v>
      </c>
    </row>
    <row r="65" spans="1:6" x14ac:dyDescent="0.4">
      <c r="A65">
        <v>23</v>
      </c>
      <c r="B65">
        <v>150117</v>
      </c>
      <c r="C65">
        <v>11</v>
      </c>
      <c r="D65">
        <v>2.1461650085131301</v>
      </c>
      <c r="E65">
        <v>7</v>
      </c>
      <c r="F65">
        <f>('Assignment_Data7 to 10'!D65-AVERAGE('Assignment_Data7 to 10'!D65:D164))/STDEV('Assignment_Data7 to 10'!D65:D164)</f>
        <v>-0.59139414458995276</v>
      </c>
    </row>
    <row r="66" spans="1:6" x14ac:dyDescent="0.4">
      <c r="A66">
        <v>59</v>
      </c>
      <c r="B66">
        <v>48776</v>
      </c>
      <c r="C66">
        <v>49</v>
      </c>
      <c r="D66">
        <v>3.3633330422760399</v>
      </c>
      <c r="E66">
        <v>4</v>
      </c>
      <c r="F66">
        <f>('Assignment_Data7 to 10'!D66-AVERAGE('Assignment_Data7 to 10'!D66:D165))/STDEV('Assignment_Data7 to 10'!D66:D165)</f>
        <v>0.42498872912425228</v>
      </c>
    </row>
    <row r="67" spans="1:6" x14ac:dyDescent="0.4">
      <c r="A67">
        <v>21</v>
      </c>
      <c r="B67">
        <v>153376</v>
      </c>
      <c r="C67">
        <v>8</v>
      </c>
      <c r="D67">
        <v>1.1220009997561899</v>
      </c>
      <c r="E67">
        <v>18</v>
      </c>
      <c r="F67">
        <f>('Assignment_Data7 to 10'!D67-AVERAGE('Assignment_Data7 to 10'!D67:D166))/STDEV('Assignment_Data7 to 10'!D67:D166)</f>
        <v>-1.4375048450924264</v>
      </c>
    </row>
    <row r="68" spans="1:6" x14ac:dyDescent="0.4">
      <c r="A68">
        <v>46</v>
      </c>
      <c r="B68">
        <v>162848</v>
      </c>
      <c r="C68">
        <v>36</v>
      </c>
      <c r="D68">
        <v>1.1493927549968499</v>
      </c>
      <c r="E68">
        <v>13</v>
      </c>
      <c r="F68">
        <f>('Assignment_Data7 to 10'!D68-AVERAGE('Assignment_Data7 to 10'!D68:D167))/STDEV('Assignment_Data7 to 10'!D68:D167)</f>
        <v>-1.4824757549947638</v>
      </c>
    </row>
    <row r="69" spans="1:6" x14ac:dyDescent="0.4">
      <c r="A69">
        <v>35</v>
      </c>
      <c r="B69">
        <v>117787</v>
      </c>
      <c r="C69">
        <v>38</v>
      </c>
      <c r="D69">
        <v>4.2904022426386303</v>
      </c>
      <c r="E69">
        <v>11</v>
      </c>
      <c r="F69">
        <f>('Assignment_Data7 to 10'!D69-AVERAGE('Assignment_Data7 to 10'!D69:D168))/STDEV('Assignment_Data7 to 10'!D69:D168)</f>
        <v>1.161619493834279</v>
      </c>
    </row>
    <row r="70" spans="1:6" x14ac:dyDescent="0.4">
      <c r="A70">
        <v>43</v>
      </c>
      <c r="B70">
        <v>152948</v>
      </c>
      <c r="C70">
        <v>40</v>
      </c>
      <c r="D70">
        <v>2.4407625656450498</v>
      </c>
      <c r="E70">
        <v>4</v>
      </c>
      <c r="F70">
        <f>('Assignment_Data7 to 10'!D70-AVERAGE('Assignment_Data7 to 10'!D70:D169))/STDEV('Assignment_Data7 to 10'!D70:D169)</f>
        <v>-0.4064446042777235</v>
      </c>
    </row>
    <row r="71" spans="1:6" x14ac:dyDescent="0.4">
      <c r="A71">
        <v>61</v>
      </c>
      <c r="B71">
        <v>80016</v>
      </c>
      <c r="C71">
        <v>20</v>
      </c>
      <c r="D71">
        <v>1.50824205060753</v>
      </c>
      <c r="E71">
        <v>4</v>
      </c>
      <c r="F71">
        <f>('Assignment_Data7 to 10'!D71-AVERAGE('Assignment_Data7 to 10'!D71:D170))/STDEV('Assignment_Data7 to 10'!D71:D170)</f>
        <v>-1.2155777500007674</v>
      </c>
    </row>
    <row r="72" spans="1:6" x14ac:dyDescent="0.4">
      <c r="A72">
        <v>51</v>
      </c>
      <c r="B72">
        <v>165546</v>
      </c>
      <c r="C72">
        <v>35</v>
      </c>
      <c r="D72">
        <v>3.0889730402192099</v>
      </c>
      <c r="E72">
        <v>10</v>
      </c>
      <c r="F72">
        <f>('Assignment_Data7 to 10'!D72-AVERAGE('Assignment_Data7 to 10'!D72:D171))/STDEV('Assignment_Data7 to 10'!D72:D171)</f>
        <v>0.10383337689511887</v>
      </c>
    </row>
    <row r="73" spans="1:6" x14ac:dyDescent="0.4">
      <c r="A73">
        <v>27</v>
      </c>
      <c r="B73">
        <v>46959</v>
      </c>
      <c r="C73">
        <v>48</v>
      </c>
      <c r="D73">
        <v>4.0799742123944398</v>
      </c>
      <c r="E73">
        <v>5</v>
      </c>
      <c r="F73">
        <f>('Assignment_Data7 to 10'!D73-AVERAGE('Assignment_Data7 to 10'!D73:D172))/STDEV('Assignment_Data7 to 10'!D73:D172)</f>
        <v>0.9506019273144557</v>
      </c>
    </row>
    <row r="74" spans="1:6" x14ac:dyDescent="0.4">
      <c r="A74">
        <v>53</v>
      </c>
      <c r="B74">
        <v>161602</v>
      </c>
      <c r="C74">
        <v>25</v>
      </c>
      <c r="D74">
        <v>1.86328410998737</v>
      </c>
      <c r="E74">
        <v>9</v>
      </c>
      <c r="F74">
        <f>('Assignment_Data7 to 10'!D74-AVERAGE('Assignment_Data7 to 10'!D74:D173))/STDEV('Assignment_Data7 to 10'!D74:D173)</f>
        <v>-0.90456761620450088</v>
      </c>
    </row>
    <row r="75" spans="1:6" x14ac:dyDescent="0.4">
      <c r="A75">
        <v>31</v>
      </c>
      <c r="B75">
        <v>144101</v>
      </c>
      <c r="C75">
        <v>35</v>
      </c>
      <c r="D75">
        <v>3.4915619032760001</v>
      </c>
      <c r="E75">
        <v>3</v>
      </c>
      <c r="F75">
        <f>('Assignment_Data7 to 10'!D75-AVERAGE('Assignment_Data7 to 10'!D75:D174))/STDEV('Assignment_Data7 to 10'!D75:D174)</f>
        <v>0.44743158491735724</v>
      </c>
    </row>
    <row r="76" spans="1:6" x14ac:dyDescent="0.4">
      <c r="A76">
        <v>48</v>
      </c>
      <c r="B76">
        <v>28748</v>
      </c>
      <c r="C76">
        <v>25</v>
      </c>
      <c r="D76">
        <v>1.34138985997507</v>
      </c>
      <c r="E76">
        <v>17</v>
      </c>
      <c r="F76">
        <f>('Assignment_Data7 to 10'!D76-AVERAGE('Assignment_Data7 to 10'!D76:D175))/STDEV('Assignment_Data7 to 10'!D76:D175)</f>
        <v>-1.3402815733063524</v>
      </c>
    </row>
    <row r="77" spans="1:6" x14ac:dyDescent="0.4">
      <c r="A77">
        <v>32</v>
      </c>
      <c r="B77">
        <v>38545</v>
      </c>
      <c r="C77">
        <v>29</v>
      </c>
      <c r="D77">
        <v>1.2067268846744299</v>
      </c>
      <c r="E77">
        <v>3</v>
      </c>
      <c r="F77">
        <f>('Assignment_Data7 to 10'!D77-AVERAGE('Assignment_Data7 to 10'!D77:D176))/STDEV('Assignment_Data7 to 10'!D77:D176)</f>
        <v>-1.5344939487167246</v>
      </c>
    </row>
    <row r="78" spans="1:6" x14ac:dyDescent="0.4">
      <c r="A78">
        <v>25</v>
      </c>
      <c r="B78">
        <v>152659</v>
      </c>
      <c r="C78">
        <v>18</v>
      </c>
      <c r="D78">
        <v>3.1254185262725902</v>
      </c>
      <c r="E78">
        <v>16</v>
      </c>
      <c r="F78">
        <f>('Assignment_Data7 to 10'!D78-AVERAGE('Assignment_Data7 to 10'!D78:D177))/STDEV('Assignment_Data7 to 10'!D78:D177)</f>
        <v>3.6770735466567679E-2</v>
      </c>
    </row>
    <row r="79" spans="1:6" x14ac:dyDescent="0.4">
      <c r="A79">
        <v>31</v>
      </c>
      <c r="B79">
        <v>98530</v>
      </c>
      <c r="C79">
        <v>46</v>
      </c>
      <c r="D79">
        <v>3.1625404864404199</v>
      </c>
      <c r="E79">
        <v>4</v>
      </c>
      <c r="F79">
        <f>('Assignment_Data7 to 10'!D79-AVERAGE('Assignment_Data7 to 10'!D79:D178))/STDEV('Assignment_Data7 to 10'!D79:D178)</f>
        <v>6.9472940414669157E-2</v>
      </c>
    </row>
    <row r="80" spans="1:6" x14ac:dyDescent="0.4">
      <c r="A80">
        <v>40</v>
      </c>
      <c r="B80">
        <v>118557</v>
      </c>
      <c r="C80">
        <v>18</v>
      </c>
      <c r="D80">
        <v>3.54971960599282</v>
      </c>
      <c r="E80">
        <v>18</v>
      </c>
      <c r="F80">
        <f>('Assignment_Data7 to 10'!D80-AVERAGE('Assignment_Data7 to 10'!D80:D179))/STDEV('Assignment_Data7 to 10'!D80:D179)</f>
        <v>0.3965370697781912</v>
      </c>
    </row>
    <row r="81" spans="1:10" x14ac:dyDescent="0.4">
      <c r="A81">
        <v>57</v>
      </c>
      <c r="B81">
        <v>86087</v>
      </c>
      <c r="C81">
        <v>2</v>
      </c>
      <c r="D81">
        <v>3.90436533489064</v>
      </c>
      <c r="E81">
        <v>17</v>
      </c>
      <c r="F81">
        <f>('Assignment_Data7 to 10'!D81-AVERAGE('Assignment_Data7 to 10'!D81:D180))/STDEV('Assignment_Data7 to 10'!D81:D180)</f>
        <v>0.69918061043088131</v>
      </c>
    </row>
    <row r="82" spans="1:10" x14ac:dyDescent="0.4">
      <c r="A82">
        <v>38</v>
      </c>
      <c r="B82">
        <v>93840</v>
      </c>
      <c r="C82">
        <v>35</v>
      </c>
      <c r="D82">
        <v>4.90340831785013</v>
      </c>
      <c r="E82">
        <v>7</v>
      </c>
      <c r="F82">
        <f>('Assignment_Data7 to 10'!D82-AVERAGE('Assignment_Data7 to 10'!D82:D181))/STDEV('Assignment_Data7 to 10'!D82:D181)</f>
        <v>1.5376263211598447</v>
      </c>
    </row>
    <row r="83" spans="1:10" x14ac:dyDescent="0.4">
      <c r="A83">
        <v>33</v>
      </c>
      <c r="B83">
        <v>143451</v>
      </c>
      <c r="C83">
        <v>16</v>
      </c>
      <c r="D83">
        <v>3.0652013932047799</v>
      </c>
      <c r="E83">
        <v>5</v>
      </c>
      <c r="F83">
        <f>('Assignment_Data7 to 10'!D83-AVERAGE('Assignment_Data7 to 10'!D83:D182))/STDEV('Assignment_Data7 to 10'!D83:D182)</f>
        <v>0.12862268641512511</v>
      </c>
    </row>
    <row r="84" spans="1:10" x14ac:dyDescent="0.4">
      <c r="A84">
        <v>62</v>
      </c>
      <c r="B84">
        <v>76005</v>
      </c>
      <c r="C84">
        <v>41</v>
      </c>
      <c r="D84">
        <v>2.2918258917649799</v>
      </c>
      <c r="E84">
        <v>12</v>
      </c>
      <c r="F84">
        <f>('Assignment_Data7 to 10'!D84-AVERAGE('Assignment_Data7 to 10'!D84:D183))/STDEV('Assignment_Data7 to 10'!D84:D183)</f>
        <v>-0.50668007537981075</v>
      </c>
    </row>
    <row r="85" spans="1:10" x14ac:dyDescent="0.4">
      <c r="A85">
        <v>35</v>
      </c>
      <c r="B85">
        <v>64353</v>
      </c>
      <c r="C85">
        <v>36</v>
      </c>
      <c r="D85">
        <v>4.1807447790748098</v>
      </c>
      <c r="E85">
        <v>17</v>
      </c>
      <c r="F85">
        <f>('Assignment_Data7 to 10'!D85-AVERAGE('Assignment_Data7 to 10'!D85:D184))/STDEV('Assignment_Data7 to 10'!D85:D184)</f>
        <v>1.0009434874352712</v>
      </c>
    </row>
    <row r="86" spans="1:10" x14ac:dyDescent="0.4">
      <c r="A86">
        <v>64</v>
      </c>
      <c r="B86">
        <v>77733</v>
      </c>
      <c r="C86">
        <v>33</v>
      </c>
      <c r="D86">
        <v>2.0833290050482902</v>
      </c>
      <c r="E86">
        <v>13</v>
      </c>
      <c r="F86">
        <f>('Assignment_Data7 to 10'!D86-AVERAGE('Assignment_Data7 to 10'!D86:D185))/STDEV('Assignment_Data7 to 10'!D86:D185)</f>
        <v>-0.63187602952828215</v>
      </c>
    </row>
    <row r="87" spans="1:10" x14ac:dyDescent="0.4">
      <c r="A87">
        <v>41</v>
      </c>
      <c r="B87">
        <v>90318</v>
      </c>
      <c r="C87">
        <v>4</v>
      </c>
      <c r="D87">
        <v>2.75588568282254</v>
      </c>
      <c r="E87">
        <v>3</v>
      </c>
      <c r="F87">
        <f>('Assignment_Data7 to 10'!D87-AVERAGE('Assignment_Data7 to 10'!D87:D186))/STDEV('Assignment_Data7 to 10'!D87:D186)</f>
        <v>-0.12704711745168207</v>
      </c>
    </row>
    <row r="88" spans="1:10" x14ac:dyDescent="0.4">
      <c r="A88">
        <v>43</v>
      </c>
      <c r="B88">
        <v>179736</v>
      </c>
      <c r="C88">
        <v>33</v>
      </c>
      <c r="D88">
        <v>1.3138255253690601</v>
      </c>
      <c r="E88">
        <v>9</v>
      </c>
      <c r="F88">
        <f>('Assignment_Data7 to 10'!D88-AVERAGE('Assignment_Data7 to 10'!D88:D187))/STDEV('Assignment_Data7 to 10'!D88:D187)</f>
        <v>-1.2343181596005453</v>
      </c>
    </row>
    <row r="89" spans="1:10" x14ac:dyDescent="0.4">
      <c r="A89">
        <v>42</v>
      </c>
      <c r="B89">
        <v>92172</v>
      </c>
      <c r="C89">
        <v>14</v>
      </c>
      <c r="D89">
        <v>1.10140297366183</v>
      </c>
      <c r="E89">
        <v>17</v>
      </c>
      <c r="F89">
        <f>('Assignment_Data7 to 10'!D89-AVERAGE('Assignment_Data7 to 10'!D89:D188))/STDEV('Assignment_Data7 to 10'!D89:D188)</f>
        <v>-1.5332480508372481</v>
      </c>
      <c r="J89">
        <f>4088/100</f>
        <v>40.880000000000003</v>
      </c>
    </row>
    <row r="90" spans="1:10" x14ac:dyDescent="0.4">
      <c r="A90">
        <v>62</v>
      </c>
      <c r="B90">
        <v>118264</v>
      </c>
      <c r="C90">
        <v>21</v>
      </c>
      <c r="D90">
        <v>4.8505936587117002</v>
      </c>
      <c r="E90">
        <v>17</v>
      </c>
      <c r="F90">
        <f>('Assignment_Data7 to 10'!D90-AVERAGE('Assignment_Data7 to 10'!D90:D189))/STDEV('Assignment_Data7 to 10'!D90:D189)</f>
        <v>1.387873180870151</v>
      </c>
    </row>
    <row r="91" spans="1:10" x14ac:dyDescent="0.4">
      <c r="A91">
        <v>58</v>
      </c>
      <c r="B91">
        <v>51736</v>
      </c>
      <c r="C91">
        <v>48</v>
      </c>
      <c r="D91">
        <v>4.3439204820488202</v>
      </c>
      <c r="E91">
        <v>16</v>
      </c>
      <c r="F91">
        <f>('Assignment_Data7 to 10'!D91-AVERAGE('Assignment_Data7 to 10'!D91:D190))/STDEV('Assignment_Data7 to 10'!D91:D190)</f>
        <v>1.1494832807576425</v>
      </c>
    </row>
    <row r="92" spans="1:10" x14ac:dyDescent="0.4">
      <c r="A92">
        <v>46</v>
      </c>
      <c r="B92">
        <v>137859</v>
      </c>
      <c r="C92">
        <v>20</v>
      </c>
      <c r="D92">
        <v>3.7838968243747901</v>
      </c>
      <c r="E92">
        <v>13</v>
      </c>
      <c r="F92">
        <f>('Assignment_Data7 to 10'!D92-AVERAGE('Assignment_Data7 to 10'!D92:D191))/STDEV('Assignment_Data7 to 10'!D92:D191)</f>
        <v>0.78087631648077482</v>
      </c>
    </row>
    <row r="93" spans="1:10" x14ac:dyDescent="0.4">
      <c r="A93">
        <v>32</v>
      </c>
      <c r="B93">
        <v>137181</v>
      </c>
      <c r="C93">
        <v>8</v>
      </c>
      <c r="D93">
        <v>2.6358117776570702</v>
      </c>
      <c r="E93">
        <v>19</v>
      </c>
      <c r="F93">
        <f>('Assignment_Data7 to 10'!D93-AVERAGE('Assignment_Data7 to 10'!D93:D192))/STDEV('Assignment_Data7 to 10'!D93:D192)</f>
        <v>-0.18780756265023454</v>
      </c>
    </row>
    <row r="94" spans="1:10" x14ac:dyDescent="0.4">
      <c r="A94">
        <v>62</v>
      </c>
      <c r="B94">
        <v>156926</v>
      </c>
      <c r="C94">
        <v>7</v>
      </c>
      <c r="D94">
        <v>1.69317728028338</v>
      </c>
      <c r="E94">
        <v>17</v>
      </c>
      <c r="F94">
        <f>('Assignment_Data7 to 10'!D94-AVERAGE('Assignment_Data7 to 10'!D94:D193))/STDEV('Assignment_Data7 to 10'!D94:D193)</f>
        <v>-0.99768377748725867</v>
      </c>
    </row>
    <row r="95" spans="1:10" x14ac:dyDescent="0.4">
      <c r="A95">
        <v>18</v>
      </c>
      <c r="B95">
        <v>115084</v>
      </c>
      <c r="C95">
        <v>3</v>
      </c>
      <c r="D95">
        <v>1.62574817068434</v>
      </c>
      <c r="E95">
        <v>4</v>
      </c>
      <c r="F95">
        <f>('Assignment_Data7 to 10'!D95-AVERAGE('Assignment_Data7 to 10'!D95:D194))/STDEV('Assignment_Data7 to 10'!D95:D194)</f>
        <v>-1.2113720348462749</v>
      </c>
    </row>
    <row r="96" spans="1:10" x14ac:dyDescent="0.4">
      <c r="A96">
        <v>42</v>
      </c>
      <c r="B96">
        <v>32392</v>
      </c>
      <c r="C96">
        <v>17</v>
      </c>
      <c r="D96">
        <v>2.00097159265838</v>
      </c>
      <c r="E96">
        <v>12</v>
      </c>
      <c r="F96">
        <f>('Assignment_Data7 to 10'!D96-AVERAGE('Assignment_Data7 to 10'!D96:D195))/STDEV('Assignment_Data7 to 10'!D96:D195)</f>
        <v>-1.1784079696220653</v>
      </c>
    </row>
    <row r="97" spans="1:6" x14ac:dyDescent="0.4">
      <c r="A97">
        <v>24</v>
      </c>
      <c r="B97">
        <v>80680</v>
      </c>
      <c r="C97">
        <v>33</v>
      </c>
      <c r="D97">
        <v>3.1969066588244801</v>
      </c>
      <c r="E97">
        <v>9</v>
      </c>
      <c r="F97">
        <f>('Assignment_Data7 to 10'!D97-AVERAGE('Assignment_Data7 to 10'!D97:D196))/STDEV('Assignment_Data7 to 10'!D97:D196)</f>
        <v>-0.33510404819877454</v>
      </c>
    </row>
    <row r="98" spans="1:6" x14ac:dyDescent="0.4">
      <c r="A98">
        <v>26</v>
      </c>
      <c r="B98">
        <v>75859</v>
      </c>
      <c r="C98">
        <v>48</v>
      </c>
      <c r="D98">
        <v>3.85838369080024</v>
      </c>
      <c r="E98">
        <v>19</v>
      </c>
      <c r="F98">
        <f>('Assignment_Data7 to 10'!D98-AVERAGE('Assignment_Data7 to 10'!D98:D197))/STDEV('Assignment_Data7 to 10'!D98:D197)</f>
        <v>0.22263471415126315</v>
      </c>
    </row>
    <row r="99" spans="1:6" x14ac:dyDescent="0.4">
      <c r="A99">
        <v>41</v>
      </c>
      <c r="B99">
        <v>150657</v>
      </c>
      <c r="C99">
        <v>12</v>
      </c>
      <c r="D99">
        <v>3.6407895068709202</v>
      </c>
      <c r="E99">
        <v>12</v>
      </c>
      <c r="F99">
        <f>('Assignment_Data7 to 10'!D99-AVERAGE('Assignment_Data7 to 10'!D99:D198))/STDEV('Assignment_Data7 to 10'!D99:D198)</f>
        <v>8.4321704202764761E-2</v>
      </c>
    </row>
    <row r="100" spans="1:6" x14ac:dyDescent="0.4">
      <c r="A100">
        <v>18</v>
      </c>
      <c r="B100">
        <v>95467</v>
      </c>
      <c r="C100">
        <v>22</v>
      </c>
      <c r="D100">
        <v>2.11973558778377</v>
      </c>
      <c r="E100">
        <v>9</v>
      </c>
      <c r="F100">
        <f>('Assignment_Data7 to 10'!D100-AVERAGE('Assignment_Data7 to 10'!D100:D199))/STDEV('Assignment_Data7 to 10'!D100:D199)</f>
        <v>-0.70710678118654824</v>
      </c>
    </row>
    <row r="101" spans="1:6" x14ac:dyDescent="0.4">
      <c r="A101">
        <v>61</v>
      </c>
      <c r="B101">
        <v>123506</v>
      </c>
      <c r="C101">
        <v>22</v>
      </c>
      <c r="D101">
        <v>4.8194611226527702</v>
      </c>
      <c r="E101">
        <v>7</v>
      </c>
      <c r="F101">
        <v>0</v>
      </c>
    </row>
  </sheetData>
  <autoFilter ref="A1:J1" xr:uid="{B96A3610-2993-4E35-BAF2-E2BFF9E25D76}"/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6B073-63BE-44AC-B8B6-15CEBFB199EB}">
  <dimension ref="A1"/>
  <sheetViews>
    <sheetView workbookViewId="0">
      <selection activeCell="F26" sqref="F26"/>
    </sheetView>
  </sheetViews>
  <sheetFormatPr defaultRowHeight="14.6" x14ac:dyDescent="0.4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E52CE-79D9-46FB-A61F-4EFA5162A45F}">
  <dimension ref="A2:K41"/>
  <sheetViews>
    <sheetView topLeftCell="A24" workbookViewId="0">
      <selection activeCell="G21" sqref="G21"/>
    </sheetView>
  </sheetViews>
  <sheetFormatPr defaultRowHeight="14.6" x14ac:dyDescent="0.4"/>
  <cols>
    <col min="2" max="2" width="74.69140625" bestFit="1" customWidth="1"/>
    <col min="3" max="3" width="28.69140625" customWidth="1"/>
    <col min="4" max="4" width="12.4609375" bestFit="1" customWidth="1"/>
    <col min="6" max="6" width="14.84375" customWidth="1"/>
  </cols>
  <sheetData>
    <row r="2" spans="1:6" x14ac:dyDescent="0.4">
      <c r="A2" t="s">
        <v>78</v>
      </c>
      <c r="B2" t="s">
        <v>5</v>
      </c>
      <c r="C2" s="1" t="s">
        <v>20</v>
      </c>
      <c r="D2" s="1" t="s">
        <v>21</v>
      </c>
      <c r="F2" s="1" t="s">
        <v>22</v>
      </c>
    </row>
    <row r="3" spans="1:6" x14ac:dyDescent="0.4">
      <c r="C3" s="1">
        <f>AVERAGE('Assignment_Data7 to 10'!A:A)</f>
        <v>40.880000000000003</v>
      </c>
      <c r="D3" s="1">
        <f>MEDIAN('Assignment_Data7 to 10'!A2:A101)</f>
        <v>41</v>
      </c>
      <c r="F3" s="1">
        <f>MODE('Assignment_Data7 to 10'!A2:A101)</f>
        <v>61</v>
      </c>
    </row>
    <row r="5" spans="1:6" x14ac:dyDescent="0.4">
      <c r="A5" t="s">
        <v>79</v>
      </c>
      <c r="B5" t="s">
        <v>6</v>
      </c>
      <c r="C5" s="2" t="s">
        <v>23</v>
      </c>
      <c r="D5" s="1" t="s">
        <v>24</v>
      </c>
    </row>
    <row r="6" spans="1:6" x14ac:dyDescent="0.4">
      <c r="C6" s="1">
        <f>_xlfn.STDEV.S('Assignment_Data7 to 10'!B:B)</f>
        <v>44418.086324573604</v>
      </c>
      <c r="D6" s="1">
        <f>VAR('Assignment_Data7 to 10'!B:B)</f>
        <v>1972966392.7372727</v>
      </c>
    </row>
    <row r="8" spans="1:6" x14ac:dyDescent="0.4">
      <c r="A8" t="s">
        <v>80</v>
      </c>
      <c r="B8" t="s">
        <v>7</v>
      </c>
      <c r="C8" s="1" t="s">
        <v>25</v>
      </c>
      <c r="D8" s="1" t="s">
        <v>26</v>
      </c>
    </row>
    <row r="9" spans="1:6" x14ac:dyDescent="0.4">
      <c r="C9" s="1">
        <f>SKEW('Assignment_Data7 to 10'!C:C)</f>
        <v>4.8663601904092149E-2</v>
      </c>
      <c r="D9" s="1">
        <f>KURT('Assignment_Data7 to 10'!C:C)</f>
        <v>-1.055159061973828</v>
      </c>
    </row>
    <row r="11" spans="1:6" ht="29.15" x14ac:dyDescent="0.4">
      <c r="A11" t="s">
        <v>81</v>
      </c>
      <c r="B11" t="s">
        <v>8</v>
      </c>
      <c r="C11" s="2" t="s">
        <v>27</v>
      </c>
    </row>
    <row r="12" spans="1:6" x14ac:dyDescent="0.4">
      <c r="C12" s="1">
        <f>CORREL('Assignment_Data7 to 10'!B:B,'Assignment_Data7 to 10'!D:D)</f>
        <v>-0.16429646341884679</v>
      </c>
    </row>
    <row r="14" spans="1:6" x14ac:dyDescent="0.4">
      <c r="A14" t="s">
        <v>82</v>
      </c>
      <c r="B14" t="s">
        <v>9</v>
      </c>
      <c r="C14" s="1" t="s">
        <v>93</v>
      </c>
    </row>
    <row r="17" spans="1:11" x14ac:dyDescent="0.4">
      <c r="A17" t="s">
        <v>83</v>
      </c>
      <c r="B17" t="s">
        <v>10</v>
      </c>
      <c r="C17" s="1" t="s">
        <v>94</v>
      </c>
    </row>
    <row r="19" spans="1:11" ht="78" customHeight="1" x14ac:dyDescent="0.4">
      <c r="A19" t="s">
        <v>84</v>
      </c>
      <c r="B19" t="s">
        <v>11</v>
      </c>
      <c r="C19" s="2" t="s">
        <v>55</v>
      </c>
      <c r="D19" s="1" t="s">
        <v>20</v>
      </c>
      <c r="E19" s="1">
        <v>3.135648299226133</v>
      </c>
      <c r="F19" s="1" t="s">
        <v>56</v>
      </c>
      <c r="G19" s="1">
        <v>1.1712801306942608</v>
      </c>
      <c r="H19" s="1" t="s">
        <v>58</v>
      </c>
      <c r="I19" s="1">
        <v>0.79308803783761128</v>
      </c>
      <c r="J19" s="1" t="s">
        <v>57</v>
      </c>
      <c r="K19" s="1">
        <v>5.4782085606146547</v>
      </c>
    </row>
    <row r="21" spans="1:11" x14ac:dyDescent="0.4">
      <c r="A21" t="s">
        <v>85</v>
      </c>
      <c r="B21" t="s">
        <v>12</v>
      </c>
      <c r="C21" s="1">
        <f>STDEV('Assignment_Data7 to 10'!B2:B101)/AVERAGE('Assignment_Data7 to 10'!B2:B101)</f>
        <v>0.40630692280570957</v>
      </c>
    </row>
    <row r="23" spans="1:11" x14ac:dyDescent="0.4">
      <c r="A23" t="s">
        <v>86</v>
      </c>
      <c r="B23" t="s">
        <v>13</v>
      </c>
      <c r="C23" s="1">
        <f>F24-D24</f>
        <v>21.5</v>
      </c>
      <c r="D23" s="1" t="s">
        <v>59</v>
      </c>
      <c r="F23" s="1" t="s">
        <v>60</v>
      </c>
    </row>
    <row r="24" spans="1:11" x14ac:dyDescent="0.4">
      <c r="D24" s="1">
        <f>QUARTILE('Assignment_Data7 to 10'!C:C,1)</f>
        <v>13.5</v>
      </c>
      <c r="F24" s="1">
        <f>QUARTILE('Assignment_Data7 to 10'!C:C,3)</f>
        <v>35</v>
      </c>
    </row>
    <row r="26" spans="1:11" x14ac:dyDescent="0.4">
      <c r="A26" t="s">
        <v>87</v>
      </c>
      <c r="B26" t="s">
        <v>14</v>
      </c>
      <c r="C26" s="1" t="s">
        <v>95</v>
      </c>
    </row>
    <row r="28" spans="1:11" x14ac:dyDescent="0.4">
      <c r="A28" t="s">
        <v>88</v>
      </c>
      <c r="B28" t="s">
        <v>15</v>
      </c>
      <c r="C28" s="1" t="s">
        <v>0</v>
      </c>
      <c r="D28" s="1" t="s">
        <v>1</v>
      </c>
    </row>
    <row r="29" spans="1:11" x14ac:dyDescent="0.4">
      <c r="C29" s="1" cm="1">
        <f t="array" ref="C29">MAX('Assignment_Data7 to 10'!A2:A101-MIN('Assignment_Data7 to 10'!A2:A101))</f>
        <v>46</v>
      </c>
      <c r="D29" s="1" cm="1">
        <f t="array" ref="D29">MAX('Assignment_Data7 to 10'!B2:B101-MIN('Assignment_Data7 to 10'!B2:B101))</f>
        <v>152043</v>
      </c>
    </row>
    <row r="31" spans="1:11" x14ac:dyDescent="0.4">
      <c r="A31" t="s">
        <v>89</v>
      </c>
      <c r="B31" t="s">
        <v>16</v>
      </c>
      <c r="C31" s="3">
        <v>0.25</v>
      </c>
      <c r="D31" s="3">
        <v>0.5</v>
      </c>
      <c r="F31" s="3">
        <v>0.75</v>
      </c>
    </row>
    <row r="32" spans="1:11" x14ac:dyDescent="0.4">
      <c r="C32" s="1">
        <f>PERCENTILE('Assignment_Data7 to 10'!C2:C101,0.25)</f>
        <v>13.5</v>
      </c>
      <c r="D32" s="1">
        <f>PERCENTILE('Assignment_Data7 to 10'!C2:C101,0.5)</f>
        <v>24</v>
      </c>
      <c r="F32" s="1">
        <f>PERCENTILE('Assignment_Data7 to 10'!C2:C101,0.75)</f>
        <v>35</v>
      </c>
    </row>
    <row r="34" spans="1:4" x14ac:dyDescent="0.4">
      <c r="A34" t="s">
        <v>90</v>
      </c>
      <c r="B34" t="s">
        <v>17</v>
      </c>
      <c r="C34" s="1" t="s">
        <v>28</v>
      </c>
    </row>
    <row r="35" spans="1:4" x14ac:dyDescent="0.4">
      <c r="C35" s="1">
        <f>_xlfn.COVARIANCE.P('Assignment_Data7 to 10'!B2:B101,'Assignment_Data7 to 10'!E2:E101)</f>
        <v>-20024.909599999999</v>
      </c>
    </row>
    <row r="37" spans="1:4" x14ac:dyDescent="0.4">
      <c r="A37" t="s">
        <v>92</v>
      </c>
      <c r="B37" t="s">
        <v>18</v>
      </c>
      <c r="C37" s="1" t="s">
        <v>25</v>
      </c>
      <c r="D37" s="1" t="s">
        <v>26</v>
      </c>
    </row>
    <row r="38" spans="1:4" x14ac:dyDescent="0.4">
      <c r="C38" s="1">
        <f>SKEW('Assignment_Data7 to 10'!B2:B101)</f>
        <v>-0.25307872181127566</v>
      </c>
      <c r="D38" s="1">
        <f>KURT('Assignment_Data7 to 10'!B2:B101)</f>
        <v>-1.2236234886974053</v>
      </c>
    </row>
    <row r="39" spans="1:4" x14ac:dyDescent="0.4">
      <c r="C39" t="s">
        <v>29</v>
      </c>
      <c r="D39" t="s">
        <v>29</v>
      </c>
    </row>
    <row r="41" spans="1:4" x14ac:dyDescent="0.4">
      <c r="A41" t="s">
        <v>91</v>
      </c>
      <c r="B41" t="s">
        <v>19</v>
      </c>
      <c r="C41" s="1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1CAD8-5B66-4513-A09B-AA7ECCCFACAD}">
  <dimension ref="A1:J22"/>
  <sheetViews>
    <sheetView topLeftCell="A6" workbookViewId="0">
      <selection activeCell="E16" sqref="E16"/>
    </sheetView>
  </sheetViews>
  <sheetFormatPr defaultRowHeight="14.6" x14ac:dyDescent="0.4"/>
  <cols>
    <col min="1" max="1" width="16.23046875" bestFit="1" customWidth="1"/>
    <col min="2" max="2" width="12.4609375" bestFit="1" customWidth="1"/>
    <col min="3" max="3" width="16.23046875" bestFit="1" customWidth="1"/>
    <col min="4" max="4" width="12.4609375" bestFit="1" customWidth="1"/>
    <col min="5" max="5" width="16.23046875" bestFit="1" customWidth="1"/>
    <col min="6" max="6" width="12.4609375" bestFit="1" customWidth="1"/>
    <col min="7" max="7" width="16.53515625" bestFit="1" customWidth="1"/>
    <col min="8" max="8" width="12.4609375" bestFit="1" customWidth="1"/>
    <col min="9" max="9" width="16.23046875" bestFit="1" customWidth="1"/>
    <col min="10" max="10" width="12.4609375" bestFit="1" customWidth="1"/>
  </cols>
  <sheetData>
    <row r="1" spans="1:10" ht="15" thickBot="1" x14ac:dyDescent="0.45">
      <c r="A1" t="s">
        <v>9</v>
      </c>
    </row>
    <row r="2" spans="1:10" x14ac:dyDescent="0.4">
      <c r="A2" s="6" t="s">
        <v>0</v>
      </c>
      <c r="B2" s="6"/>
      <c r="C2" s="6" t="s">
        <v>1</v>
      </c>
      <c r="D2" s="6"/>
      <c r="E2" s="6" t="s">
        <v>2</v>
      </c>
      <c r="F2" s="6"/>
      <c r="G2" s="6" t="s">
        <v>3</v>
      </c>
      <c r="H2" s="6"/>
      <c r="I2" s="6" t="s">
        <v>4</v>
      </c>
      <c r="J2" s="6"/>
    </row>
    <row r="4" spans="1:10" x14ac:dyDescent="0.4">
      <c r="A4" t="s">
        <v>20</v>
      </c>
      <c r="B4">
        <v>40.880000000000003</v>
      </c>
      <c r="C4" t="s">
        <v>20</v>
      </c>
      <c r="D4">
        <v>109321.51</v>
      </c>
      <c r="E4" t="s">
        <v>20</v>
      </c>
      <c r="F4">
        <v>24.47</v>
      </c>
      <c r="G4" t="s">
        <v>20</v>
      </c>
      <c r="H4">
        <v>3.135648299226133</v>
      </c>
      <c r="I4" t="s">
        <v>20</v>
      </c>
      <c r="J4">
        <v>9.9600000000000009</v>
      </c>
    </row>
    <row r="5" spans="1:10" x14ac:dyDescent="0.4">
      <c r="A5" t="s">
        <v>41</v>
      </c>
      <c r="B5">
        <v>1.3990819500766576</v>
      </c>
      <c r="C5" t="s">
        <v>41</v>
      </c>
      <c r="D5">
        <v>4441.8086324573605</v>
      </c>
      <c r="E5" t="s">
        <v>41</v>
      </c>
      <c r="F5">
        <v>1.3994555218283138</v>
      </c>
      <c r="G5" t="s">
        <v>41</v>
      </c>
      <c r="H5">
        <v>0.11712801306942608</v>
      </c>
      <c r="I5" t="s">
        <v>41</v>
      </c>
      <c r="J5">
        <v>0.58204099269013443</v>
      </c>
    </row>
    <row r="6" spans="1:10" x14ac:dyDescent="0.4">
      <c r="A6" t="s">
        <v>42</v>
      </c>
      <c r="B6">
        <v>41</v>
      </c>
      <c r="C6" t="s">
        <v>42</v>
      </c>
      <c r="D6">
        <v>118025.5</v>
      </c>
      <c r="E6" t="s">
        <v>42</v>
      </c>
      <c r="F6">
        <v>24</v>
      </c>
      <c r="G6" t="s">
        <v>42</v>
      </c>
      <c r="H6">
        <v>3.18374259882739</v>
      </c>
      <c r="I6" t="s">
        <v>42</v>
      </c>
      <c r="J6">
        <v>10</v>
      </c>
    </row>
    <row r="7" spans="1:10" x14ac:dyDescent="0.4">
      <c r="A7" t="s">
        <v>22</v>
      </c>
      <c r="B7">
        <v>61</v>
      </c>
      <c r="C7" t="s">
        <v>22</v>
      </c>
      <c r="D7" t="e">
        <v>#N/A</v>
      </c>
      <c r="E7" t="s">
        <v>22</v>
      </c>
      <c r="F7">
        <v>48</v>
      </c>
      <c r="G7" t="s">
        <v>22</v>
      </c>
      <c r="H7" t="e">
        <v>#N/A</v>
      </c>
      <c r="I7" t="s">
        <v>22</v>
      </c>
      <c r="J7">
        <v>5</v>
      </c>
    </row>
    <row r="8" spans="1:10" x14ac:dyDescent="0.4">
      <c r="A8" t="s">
        <v>43</v>
      </c>
      <c r="B8">
        <v>13.990819500766575</v>
      </c>
      <c r="C8" t="s">
        <v>43</v>
      </c>
      <c r="D8">
        <v>44418.086324573604</v>
      </c>
      <c r="E8" t="s">
        <v>43</v>
      </c>
      <c r="F8">
        <v>13.994555218283137</v>
      </c>
      <c r="G8" t="s">
        <v>43</v>
      </c>
      <c r="H8">
        <v>1.1712801306942608</v>
      </c>
      <c r="I8" t="s">
        <v>43</v>
      </c>
      <c r="J8">
        <v>5.8204099269013447</v>
      </c>
    </row>
    <row r="9" spans="1:10" x14ac:dyDescent="0.4">
      <c r="A9" t="s">
        <v>44</v>
      </c>
      <c r="B9">
        <v>195.74303030303028</v>
      </c>
      <c r="C9" t="s">
        <v>44</v>
      </c>
      <c r="D9">
        <v>1972966392.7372727</v>
      </c>
      <c r="E9" t="s">
        <v>44</v>
      </c>
      <c r="F9">
        <v>195.84757575757578</v>
      </c>
      <c r="G9" t="s">
        <v>44</v>
      </c>
      <c r="H9">
        <v>1.3718971445591648</v>
      </c>
      <c r="I9" t="s">
        <v>44</v>
      </c>
      <c r="J9">
        <v>33.87717171717172</v>
      </c>
    </row>
    <row r="10" spans="1:10" x14ac:dyDescent="0.4">
      <c r="A10" t="s">
        <v>26</v>
      </c>
      <c r="B10">
        <v>-1.1665488564043374</v>
      </c>
      <c r="C10" t="s">
        <v>26</v>
      </c>
      <c r="D10">
        <v>-1.2236234886974053</v>
      </c>
      <c r="E10" t="s">
        <v>26</v>
      </c>
      <c r="F10">
        <v>-1.055159061973828</v>
      </c>
      <c r="G10" t="s">
        <v>26</v>
      </c>
      <c r="H10">
        <v>-1.1378841235790116</v>
      </c>
      <c r="I10" t="s">
        <v>26</v>
      </c>
      <c r="J10">
        <v>-1.366491096177314</v>
      </c>
    </row>
    <row r="11" spans="1:10" x14ac:dyDescent="0.4">
      <c r="A11" t="s">
        <v>25</v>
      </c>
      <c r="B11">
        <v>7.9166331444670376E-2</v>
      </c>
      <c r="C11" t="s">
        <v>25</v>
      </c>
      <c r="D11">
        <v>-0.25307872181127566</v>
      </c>
      <c r="E11" t="s">
        <v>25</v>
      </c>
      <c r="F11">
        <v>4.8663601904092149E-2</v>
      </c>
      <c r="G11" t="s">
        <v>25</v>
      </c>
      <c r="H11">
        <v>-0.16614507010916194</v>
      </c>
      <c r="I11" t="s">
        <v>25</v>
      </c>
      <c r="J11">
        <v>3.7765578908519663E-2</v>
      </c>
    </row>
    <row r="12" spans="1:10" x14ac:dyDescent="0.4">
      <c r="A12" t="s">
        <v>45</v>
      </c>
      <c r="B12">
        <v>46</v>
      </c>
      <c r="C12" t="s">
        <v>45</v>
      </c>
      <c r="D12">
        <v>152043</v>
      </c>
      <c r="E12" t="s">
        <v>45</v>
      </c>
      <c r="F12">
        <v>48</v>
      </c>
      <c r="G12" t="s">
        <v>45</v>
      </c>
      <c r="H12">
        <v>3.8983889343015896</v>
      </c>
      <c r="I12" t="s">
        <v>45</v>
      </c>
      <c r="J12">
        <v>18</v>
      </c>
    </row>
    <row r="13" spans="1:10" x14ac:dyDescent="0.4">
      <c r="A13" t="s">
        <v>46</v>
      </c>
      <c r="B13">
        <v>18</v>
      </c>
      <c r="C13" t="s">
        <v>46</v>
      </c>
      <c r="D13">
        <v>27693</v>
      </c>
      <c r="E13" t="s">
        <v>46</v>
      </c>
      <c r="F13">
        <v>1</v>
      </c>
      <c r="G13" t="s">
        <v>46</v>
      </c>
      <c r="H13">
        <v>1.0618264661154599</v>
      </c>
      <c r="I13" t="s">
        <v>46</v>
      </c>
      <c r="J13">
        <v>1</v>
      </c>
    </row>
    <row r="14" spans="1:10" x14ac:dyDescent="0.4">
      <c r="A14" t="s">
        <v>47</v>
      </c>
      <c r="B14">
        <v>64</v>
      </c>
      <c r="C14" t="s">
        <v>47</v>
      </c>
      <c r="D14">
        <v>179736</v>
      </c>
      <c r="E14" t="s">
        <v>47</v>
      </c>
      <c r="F14">
        <v>49</v>
      </c>
      <c r="G14" t="s">
        <v>47</v>
      </c>
      <c r="H14">
        <v>4.9602154004170496</v>
      </c>
      <c r="I14" t="s">
        <v>47</v>
      </c>
      <c r="J14">
        <v>19</v>
      </c>
    </row>
    <row r="15" spans="1:10" x14ac:dyDescent="0.4">
      <c r="A15" t="s">
        <v>48</v>
      </c>
      <c r="B15">
        <v>4088</v>
      </c>
      <c r="C15" t="s">
        <v>48</v>
      </c>
      <c r="D15">
        <v>10932151</v>
      </c>
      <c r="E15" t="s">
        <v>48</v>
      </c>
      <c r="F15">
        <v>2447</v>
      </c>
      <c r="G15" t="s">
        <v>48</v>
      </c>
      <c r="H15">
        <v>313.56482992261328</v>
      </c>
      <c r="I15" t="s">
        <v>48</v>
      </c>
      <c r="J15">
        <v>996</v>
      </c>
    </row>
    <row r="16" spans="1:10" ht="15" thickBot="1" x14ac:dyDescent="0.45">
      <c r="A16" s="5" t="s">
        <v>49</v>
      </c>
      <c r="B16" s="5">
        <v>100</v>
      </c>
      <c r="C16" s="5" t="s">
        <v>49</v>
      </c>
      <c r="D16" s="5">
        <v>100</v>
      </c>
      <c r="E16" s="5" t="s">
        <v>49</v>
      </c>
      <c r="F16" s="5">
        <v>100</v>
      </c>
      <c r="G16" s="5" t="s">
        <v>49</v>
      </c>
      <c r="H16" s="5">
        <v>100</v>
      </c>
      <c r="I16" s="5" t="s">
        <v>49</v>
      </c>
      <c r="J16" s="5">
        <v>100</v>
      </c>
    </row>
    <row r="20" spans="3:4" x14ac:dyDescent="0.4">
      <c r="C20" s="3">
        <v>0.25</v>
      </c>
      <c r="D20" s="1">
        <f>QUARTILE('Assignment_Data7 to 10'!A2:A101,1)</f>
        <v>30.5</v>
      </c>
    </row>
    <row r="21" spans="3:4" x14ac:dyDescent="0.4">
      <c r="C21" s="3">
        <v>0.5</v>
      </c>
      <c r="D21" s="1">
        <f>QUARTILE('Assignment_Data7 to 10'!A2:A101,2)</f>
        <v>41</v>
      </c>
    </row>
    <row r="22" spans="3:4" x14ac:dyDescent="0.4">
      <c r="C22" s="3">
        <v>0.75</v>
      </c>
      <c r="D22" s="1">
        <f>QUARTILE('Assignment_Data7 to 10'!A2:A101,3)</f>
        <v>53.25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816B-7406-47CA-9653-9264A045EAF0}">
  <dimension ref="A1:E15"/>
  <sheetViews>
    <sheetView workbookViewId="0">
      <selection activeCell="I19" sqref="I19"/>
    </sheetView>
  </sheetViews>
  <sheetFormatPr defaultRowHeight="14.6" x14ac:dyDescent="0.4"/>
  <sheetData>
    <row r="1" spans="1:5" x14ac:dyDescent="0.4">
      <c r="A1" s="6" t="s">
        <v>50</v>
      </c>
      <c r="B1" s="6" t="s">
        <v>52</v>
      </c>
    </row>
    <row r="2" spans="1:5" x14ac:dyDescent="0.4">
      <c r="A2">
        <v>1</v>
      </c>
      <c r="B2">
        <v>6</v>
      </c>
    </row>
    <row r="3" spans="1:5" x14ac:dyDescent="0.4">
      <c r="A3">
        <v>2.8</v>
      </c>
      <c r="B3">
        <v>4</v>
      </c>
    </row>
    <row r="4" spans="1:5" x14ac:dyDescent="0.4">
      <c r="A4">
        <v>4.5999999999999996</v>
      </c>
      <c r="B4">
        <v>15</v>
      </c>
    </row>
    <row r="5" spans="1:5" x14ac:dyDescent="0.4">
      <c r="A5">
        <v>6.4</v>
      </c>
      <c r="B5">
        <v>10</v>
      </c>
    </row>
    <row r="6" spans="1:5" x14ac:dyDescent="0.4">
      <c r="A6">
        <v>8.1999999999999993</v>
      </c>
      <c r="B6">
        <v>7</v>
      </c>
    </row>
    <row r="7" spans="1:5" x14ac:dyDescent="0.4">
      <c r="A7">
        <v>10</v>
      </c>
      <c r="B7">
        <v>10</v>
      </c>
    </row>
    <row r="8" spans="1:5" x14ac:dyDescent="0.4">
      <c r="A8">
        <v>11.8</v>
      </c>
      <c r="B8">
        <v>3</v>
      </c>
    </row>
    <row r="9" spans="1:5" x14ac:dyDescent="0.4">
      <c r="A9">
        <v>13.6</v>
      </c>
      <c r="B9">
        <v>14</v>
      </c>
    </row>
    <row r="10" spans="1:5" x14ac:dyDescent="0.4">
      <c r="A10">
        <v>15.4</v>
      </c>
      <c r="B10">
        <v>4</v>
      </c>
    </row>
    <row r="11" spans="1:5" x14ac:dyDescent="0.4">
      <c r="A11">
        <v>17.2</v>
      </c>
      <c r="B11">
        <v>16</v>
      </c>
    </row>
    <row r="12" spans="1:5" ht="15" thickBot="1" x14ac:dyDescent="0.45">
      <c r="A12" s="5" t="s">
        <v>51</v>
      </c>
      <c r="B12" s="5">
        <v>11</v>
      </c>
    </row>
    <row r="15" spans="1:5" x14ac:dyDescent="0.4">
      <c r="D15" s="7" t="s">
        <v>53</v>
      </c>
      <c r="E15" t="s">
        <v>54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03FD4-4505-450C-8367-A6EBB0D5EFB8}">
  <dimension ref="A1:G7"/>
  <sheetViews>
    <sheetView workbookViewId="0">
      <selection activeCell="C20" sqref="C20"/>
    </sheetView>
  </sheetViews>
  <sheetFormatPr defaultRowHeight="14.6" x14ac:dyDescent="0.4"/>
  <sheetData>
    <row r="1" spans="1:7" x14ac:dyDescent="0.4">
      <c r="A1" s="6"/>
      <c r="B1" s="6">
        <v>56</v>
      </c>
      <c r="C1" s="6">
        <v>158767</v>
      </c>
      <c r="D1" s="6">
        <v>17</v>
      </c>
      <c r="E1" s="6">
        <v>1.9759585735163301</v>
      </c>
      <c r="F1" s="6">
        <v>7</v>
      </c>
      <c r="G1" s="6">
        <v>-0.99010449790727018</v>
      </c>
    </row>
    <row r="2" spans="1:7" x14ac:dyDescent="0.4">
      <c r="A2">
        <v>56</v>
      </c>
      <c r="B2">
        <v>1</v>
      </c>
    </row>
    <row r="3" spans="1:7" x14ac:dyDescent="0.4">
      <c r="A3">
        <v>158767</v>
      </c>
      <c r="B3">
        <v>-3.0305039547535859E-2</v>
      </c>
      <c r="C3">
        <v>1</v>
      </c>
    </row>
    <row r="4" spans="1:7" x14ac:dyDescent="0.4">
      <c r="A4">
        <v>17</v>
      </c>
      <c r="B4">
        <v>6.7657804124475529E-2</v>
      </c>
      <c r="C4">
        <v>4.5417185422518954E-3</v>
      </c>
      <c r="D4">
        <v>1</v>
      </c>
    </row>
    <row r="5" spans="1:7" x14ac:dyDescent="0.4">
      <c r="A5">
        <v>1.9759585735163301</v>
      </c>
      <c r="B5">
        <v>-9.5718362439187132E-2</v>
      </c>
      <c r="C5">
        <v>-0.15480393906637022</v>
      </c>
      <c r="D5">
        <v>1.9659926517448502E-2</v>
      </c>
      <c r="E5">
        <v>1</v>
      </c>
    </row>
    <row r="6" spans="1:7" x14ac:dyDescent="0.4">
      <c r="A6">
        <v>7</v>
      </c>
      <c r="B6">
        <v>-6.7815138816871134E-3</v>
      </c>
      <c r="C6">
        <v>-7.3021545304735133E-2</v>
      </c>
      <c r="D6">
        <v>-0.1650736421758538</v>
      </c>
      <c r="E6">
        <v>8.3592240878633123E-2</v>
      </c>
      <c r="F6">
        <v>1</v>
      </c>
    </row>
    <row r="7" spans="1:7" ht="15" thickBot="1" x14ac:dyDescent="0.45">
      <c r="A7" s="5">
        <v>-0.99010449790727018</v>
      </c>
      <c r="B7" s="5">
        <v>-0.10847765232779484</v>
      </c>
      <c r="C7" s="5">
        <v>-0.14701981506894632</v>
      </c>
      <c r="D7" s="5">
        <v>2.139654249934721E-2</v>
      </c>
      <c r="E7" s="5">
        <v>0.97912514853822474</v>
      </c>
      <c r="F7" s="5">
        <v>9.1968248189196189E-2</v>
      </c>
      <c r="G7" s="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4E95-98A9-4FE9-9AE7-1B3732F964B0}">
  <dimension ref="A1:A9"/>
  <sheetViews>
    <sheetView workbookViewId="0">
      <selection activeCell="F9" sqref="F9"/>
    </sheetView>
  </sheetViews>
  <sheetFormatPr defaultRowHeight="14.6" x14ac:dyDescent="0.4"/>
  <sheetData>
    <row r="1" spans="1:1" x14ac:dyDescent="0.4">
      <c r="A1" t="s">
        <v>31</v>
      </c>
    </row>
    <row r="3" spans="1:1" x14ac:dyDescent="0.4">
      <c r="A3" t="s">
        <v>32</v>
      </c>
    </row>
    <row r="5" spans="1:1" x14ac:dyDescent="0.4">
      <c r="A5" t="s">
        <v>33</v>
      </c>
    </row>
    <row r="7" spans="1:1" x14ac:dyDescent="0.4">
      <c r="A7" t="s">
        <v>34</v>
      </c>
    </row>
    <row r="9" spans="1:1" x14ac:dyDescent="0.4">
      <c r="A9" t="s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8737E-5925-44B9-B7E9-2B03C2ABA911}">
  <dimension ref="A3:B11"/>
  <sheetViews>
    <sheetView workbookViewId="0">
      <selection activeCell="D16" sqref="D16"/>
    </sheetView>
  </sheetViews>
  <sheetFormatPr defaultRowHeight="14.6" x14ac:dyDescent="0.4"/>
  <cols>
    <col min="1" max="1" width="12.3828125" bestFit="1" customWidth="1"/>
    <col min="2" max="2" width="15.3046875" bestFit="1" customWidth="1"/>
  </cols>
  <sheetData>
    <row r="3" spans="1:2" x14ac:dyDescent="0.4">
      <c r="A3" t="s">
        <v>36</v>
      </c>
      <c r="B3" t="s">
        <v>38</v>
      </c>
    </row>
    <row r="4" spans="1:2" x14ac:dyDescent="0.4">
      <c r="A4" s="4" t="s">
        <v>61</v>
      </c>
      <c r="B4">
        <v>117521.93333333333</v>
      </c>
    </row>
    <row r="5" spans="1:2" x14ac:dyDescent="0.4">
      <c r="A5" s="4" t="s">
        <v>62</v>
      </c>
      <c r="B5">
        <v>101394</v>
      </c>
    </row>
    <row r="6" spans="1:2" x14ac:dyDescent="0.4">
      <c r="A6" s="4" t="s">
        <v>63</v>
      </c>
      <c r="B6">
        <v>102108.75</v>
      </c>
    </row>
    <row r="7" spans="1:2" x14ac:dyDescent="0.4">
      <c r="A7" s="4" t="s">
        <v>64</v>
      </c>
      <c r="B7">
        <v>113776.63157894737</v>
      </c>
    </row>
    <row r="8" spans="1:2" x14ac:dyDescent="0.4">
      <c r="A8" s="4" t="s">
        <v>65</v>
      </c>
      <c r="B8">
        <v>116505.25</v>
      </c>
    </row>
    <row r="9" spans="1:2" x14ac:dyDescent="0.4">
      <c r="A9" s="4" t="s">
        <v>66</v>
      </c>
      <c r="B9">
        <v>109806.5</v>
      </c>
    </row>
    <row r="10" spans="1:2" x14ac:dyDescent="0.4">
      <c r="A10" s="4" t="s">
        <v>67</v>
      </c>
      <c r="B10">
        <v>106069.78571428571</v>
      </c>
    </row>
    <row r="11" spans="1:2" x14ac:dyDescent="0.4">
      <c r="A11" s="4" t="s">
        <v>37</v>
      </c>
      <c r="B11">
        <v>109321.51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8C8B-9169-44AB-8314-0959A031E198}">
  <dimension ref="A3:B104"/>
  <sheetViews>
    <sheetView workbookViewId="0">
      <selection activeCell="K16" sqref="K16"/>
    </sheetView>
  </sheetViews>
  <sheetFormatPr defaultRowHeight="14.6" x14ac:dyDescent="0.4"/>
  <cols>
    <col min="1" max="1" width="12.3828125" bestFit="1" customWidth="1"/>
    <col min="2" max="2" width="20.765625" bestFit="1" customWidth="1"/>
  </cols>
  <sheetData>
    <row r="3" spans="1:2" x14ac:dyDescent="0.4">
      <c r="A3" t="s">
        <v>36</v>
      </c>
      <c r="B3" t="s">
        <v>39</v>
      </c>
    </row>
    <row r="4" spans="1:2" x14ac:dyDescent="0.4">
      <c r="A4" s="4">
        <v>1.0618264661154599</v>
      </c>
      <c r="B4">
        <v>26</v>
      </c>
    </row>
    <row r="5" spans="1:2" x14ac:dyDescent="0.4">
      <c r="A5" s="4">
        <v>1.09726386572581</v>
      </c>
      <c r="B5">
        <v>6</v>
      </c>
    </row>
    <row r="6" spans="1:2" x14ac:dyDescent="0.4">
      <c r="A6" s="4">
        <v>1.10140297366183</v>
      </c>
      <c r="B6">
        <v>14</v>
      </c>
    </row>
    <row r="7" spans="1:2" x14ac:dyDescent="0.4">
      <c r="A7" s="4">
        <v>1.1220009997561899</v>
      </c>
      <c r="B7">
        <v>8</v>
      </c>
    </row>
    <row r="8" spans="1:2" x14ac:dyDescent="0.4">
      <c r="A8" s="4">
        <v>1.1437690951869599</v>
      </c>
      <c r="B8">
        <v>24</v>
      </c>
    </row>
    <row r="9" spans="1:2" x14ac:dyDescent="0.4">
      <c r="A9" s="4">
        <v>1.1493927549968499</v>
      </c>
      <c r="B9">
        <v>36</v>
      </c>
    </row>
    <row r="10" spans="1:2" x14ac:dyDescent="0.4">
      <c r="A10" s="4">
        <v>1.2067268846744299</v>
      </c>
      <c r="B10">
        <v>29</v>
      </c>
    </row>
    <row r="11" spans="1:2" x14ac:dyDescent="0.4">
      <c r="A11" s="4">
        <v>1.3138255253690601</v>
      </c>
      <c r="B11">
        <v>33</v>
      </c>
    </row>
    <row r="12" spans="1:2" x14ac:dyDescent="0.4">
      <c r="A12" s="4">
        <v>1.34138985997507</v>
      </c>
      <c r="B12">
        <v>25</v>
      </c>
    </row>
    <row r="13" spans="1:2" x14ac:dyDescent="0.4">
      <c r="A13" s="4">
        <v>1.37592775936347</v>
      </c>
      <c r="B13">
        <v>3</v>
      </c>
    </row>
    <row r="14" spans="1:2" x14ac:dyDescent="0.4">
      <c r="A14" s="4">
        <v>1.3887059750830699</v>
      </c>
      <c r="B14">
        <v>25</v>
      </c>
    </row>
    <row r="15" spans="1:2" x14ac:dyDescent="0.4">
      <c r="A15" s="4">
        <v>1.50824205060753</v>
      </c>
      <c r="B15">
        <v>20</v>
      </c>
    </row>
    <row r="16" spans="1:2" x14ac:dyDescent="0.4">
      <c r="A16" s="4">
        <v>1.5603360609460899</v>
      </c>
      <c r="B16">
        <v>30</v>
      </c>
    </row>
    <row r="17" spans="1:2" x14ac:dyDescent="0.4">
      <c r="A17" s="4">
        <v>1.62574817068434</v>
      </c>
      <c r="B17">
        <v>3</v>
      </c>
    </row>
    <row r="18" spans="1:2" x14ac:dyDescent="0.4">
      <c r="A18" s="4">
        <v>1.67797098674437</v>
      </c>
      <c r="B18">
        <v>18</v>
      </c>
    </row>
    <row r="19" spans="1:2" x14ac:dyDescent="0.4">
      <c r="A19" s="4">
        <v>1.69317728028338</v>
      </c>
      <c r="B19">
        <v>7</v>
      </c>
    </row>
    <row r="20" spans="1:2" x14ac:dyDescent="0.4">
      <c r="A20" s="4">
        <v>1.70844271762819</v>
      </c>
      <c r="B20">
        <v>29</v>
      </c>
    </row>
    <row r="21" spans="1:2" x14ac:dyDescent="0.4">
      <c r="A21" s="4">
        <v>1.78097195119217</v>
      </c>
      <c r="B21">
        <v>16</v>
      </c>
    </row>
    <row r="22" spans="1:2" x14ac:dyDescent="0.4">
      <c r="A22" s="4">
        <v>1.86328410998737</v>
      </c>
      <c r="B22">
        <v>25</v>
      </c>
    </row>
    <row r="23" spans="1:2" x14ac:dyDescent="0.4">
      <c r="A23" s="4">
        <v>1.9759585735163301</v>
      </c>
      <c r="B23">
        <v>17</v>
      </c>
    </row>
    <row r="24" spans="1:2" x14ac:dyDescent="0.4">
      <c r="A24" s="4">
        <v>2.00097159265838</v>
      </c>
      <c r="B24">
        <v>17</v>
      </c>
    </row>
    <row r="25" spans="1:2" x14ac:dyDescent="0.4">
      <c r="A25" s="4">
        <v>2.0833290050482902</v>
      </c>
      <c r="B25">
        <v>33</v>
      </c>
    </row>
    <row r="26" spans="1:2" x14ac:dyDescent="0.4">
      <c r="A26" s="4">
        <v>2.11973558778377</v>
      </c>
      <c r="B26">
        <v>22</v>
      </c>
    </row>
    <row r="27" spans="1:2" x14ac:dyDescent="0.4">
      <c r="A27" s="4">
        <v>2.1230894497634201</v>
      </c>
      <c r="B27">
        <v>9</v>
      </c>
    </row>
    <row r="28" spans="1:2" x14ac:dyDescent="0.4">
      <c r="A28" s="4">
        <v>2.1461650085131301</v>
      </c>
      <c r="B28">
        <v>11</v>
      </c>
    </row>
    <row r="29" spans="1:2" x14ac:dyDescent="0.4">
      <c r="A29" s="4">
        <v>2.1743673770579699</v>
      </c>
      <c r="B29">
        <v>49</v>
      </c>
    </row>
    <row r="30" spans="1:2" x14ac:dyDescent="0.4">
      <c r="A30" s="4">
        <v>2.1777955682783401</v>
      </c>
      <c r="B30">
        <v>41</v>
      </c>
    </row>
    <row r="31" spans="1:2" x14ac:dyDescent="0.4">
      <c r="A31" s="4">
        <v>2.2676880206251102</v>
      </c>
      <c r="B31">
        <v>39</v>
      </c>
    </row>
    <row r="32" spans="1:2" x14ac:dyDescent="0.4">
      <c r="A32" s="4">
        <v>2.2918258917649799</v>
      </c>
      <c r="B32">
        <v>41</v>
      </c>
    </row>
    <row r="33" spans="1:2" x14ac:dyDescent="0.4">
      <c r="A33" s="4">
        <v>2.3519806274061401</v>
      </c>
      <c r="B33">
        <v>48</v>
      </c>
    </row>
    <row r="34" spans="1:2" x14ac:dyDescent="0.4">
      <c r="A34" s="4">
        <v>2.4379646048790198</v>
      </c>
      <c r="B34">
        <v>48</v>
      </c>
    </row>
    <row r="35" spans="1:2" x14ac:dyDescent="0.4">
      <c r="A35" s="4">
        <v>2.4407625656450498</v>
      </c>
      <c r="B35">
        <v>40</v>
      </c>
    </row>
    <row r="36" spans="1:2" x14ac:dyDescent="0.4">
      <c r="A36" s="4">
        <v>2.48063480102177</v>
      </c>
      <c r="B36">
        <v>19</v>
      </c>
    </row>
    <row r="37" spans="1:2" x14ac:dyDescent="0.4">
      <c r="A37" s="4">
        <v>2.5023318105597698</v>
      </c>
      <c r="B37">
        <v>16</v>
      </c>
    </row>
    <row r="38" spans="1:2" x14ac:dyDescent="0.4">
      <c r="A38" s="4">
        <v>2.5403909144077002</v>
      </c>
      <c r="B38">
        <v>33</v>
      </c>
    </row>
    <row r="39" spans="1:2" x14ac:dyDescent="0.4">
      <c r="A39" s="4">
        <v>2.5723908986670398</v>
      </c>
      <c r="B39">
        <v>24</v>
      </c>
    </row>
    <row r="40" spans="1:2" x14ac:dyDescent="0.4">
      <c r="A40" s="4">
        <v>2.6358117776570702</v>
      </c>
      <c r="B40">
        <v>8</v>
      </c>
    </row>
    <row r="41" spans="1:2" x14ac:dyDescent="0.4">
      <c r="A41" s="4">
        <v>2.7127365932692502</v>
      </c>
      <c r="B41">
        <v>19</v>
      </c>
    </row>
    <row r="42" spans="1:2" x14ac:dyDescent="0.4">
      <c r="A42" s="4">
        <v>2.75588568282254</v>
      </c>
      <c r="B42">
        <v>4</v>
      </c>
    </row>
    <row r="43" spans="1:2" x14ac:dyDescent="0.4">
      <c r="A43" s="4">
        <v>2.8623920725298402</v>
      </c>
      <c r="B43">
        <v>33</v>
      </c>
    </row>
    <row r="44" spans="1:2" x14ac:dyDescent="0.4">
      <c r="A44" s="4">
        <v>2.9700707752754498</v>
      </c>
      <c r="B44">
        <v>48</v>
      </c>
    </row>
    <row r="45" spans="1:2" x14ac:dyDescent="0.4">
      <c r="A45" s="4">
        <v>3.00606517874879</v>
      </c>
      <c r="B45">
        <v>37</v>
      </c>
    </row>
    <row r="46" spans="1:2" x14ac:dyDescent="0.4">
      <c r="A46" s="4">
        <v>3.01054837242076</v>
      </c>
      <c r="B46">
        <v>22</v>
      </c>
    </row>
    <row r="47" spans="1:2" x14ac:dyDescent="0.4">
      <c r="A47" s="4">
        <v>3.0453695954437499</v>
      </c>
      <c r="B47">
        <v>5</v>
      </c>
    </row>
    <row r="48" spans="1:2" x14ac:dyDescent="0.4">
      <c r="A48" s="4">
        <v>3.0652013932047799</v>
      </c>
      <c r="B48">
        <v>16</v>
      </c>
    </row>
    <row r="49" spans="1:2" x14ac:dyDescent="0.4">
      <c r="A49" s="4">
        <v>3.0733186094549398</v>
      </c>
      <c r="B49">
        <v>42</v>
      </c>
    </row>
    <row r="50" spans="1:2" x14ac:dyDescent="0.4">
      <c r="A50" s="4">
        <v>3.0889730402192099</v>
      </c>
      <c r="B50">
        <v>35</v>
      </c>
    </row>
    <row r="51" spans="1:2" x14ac:dyDescent="0.4">
      <c r="A51" s="4">
        <v>3.1254185262725902</v>
      </c>
      <c r="B51">
        <v>18</v>
      </c>
    </row>
    <row r="52" spans="1:2" x14ac:dyDescent="0.4">
      <c r="A52" s="4">
        <v>3.1625404864404199</v>
      </c>
      <c r="B52">
        <v>46</v>
      </c>
    </row>
    <row r="53" spans="1:2" x14ac:dyDescent="0.4">
      <c r="A53" s="4">
        <v>3.1705785388302998</v>
      </c>
      <c r="B53">
        <v>24</v>
      </c>
    </row>
    <row r="54" spans="1:2" x14ac:dyDescent="0.4">
      <c r="A54" s="4">
        <v>3.1969066588244801</v>
      </c>
      <c r="B54">
        <v>33</v>
      </c>
    </row>
    <row r="55" spans="1:2" x14ac:dyDescent="0.4">
      <c r="A55" s="4">
        <v>3.2272050498334002</v>
      </c>
      <c r="B55">
        <v>40</v>
      </c>
    </row>
    <row r="56" spans="1:2" x14ac:dyDescent="0.4">
      <c r="A56" s="4">
        <v>3.2802446803574599</v>
      </c>
      <c r="B56">
        <v>28</v>
      </c>
    </row>
    <row r="57" spans="1:2" x14ac:dyDescent="0.4">
      <c r="A57" s="4">
        <v>3.3076155385054302</v>
      </c>
      <c r="B57">
        <v>11</v>
      </c>
    </row>
    <row r="58" spans="1:2" x14ac:dyDescent="0.4">
      <c r="A58" s="4">
        <v>3.3131205639846901</v>
      </c>
      <c r="B58">
        <v>20</v>
      </c>
    </row>
    <row r="59" spans="1:2" x14ac:dyDescent="0.4">
      <c r="A59" s="4">
        <v>3.3633330422760399</v>
      </c>
      <c r="B59">
        <v>49</v>
      </c>
    </row>
    <row r="60" spans="1:2" x14ac:dyDescent="0.4">
      <c r="A60" s="4">
        <v>3.4600289067966701</v>
      </c>
      <c r="B60">
        <v>23</v>
      </c>
    </row>
    <row r="61" spans="1:2" x14ac:dyDescent="0.4">
      <c r="A61" s="4">
        <v>3.4915619032760001</v>
      </c>
      <c r="B61">
        <v>35</v>
      </c>
    </row>
    <row r="62" spans="1:2" x14ac:dyDescent="0.4">
      <c r="A62" s="4">
        <v>3.5245545039890498</v>
      </c>
      <c r="B62">
        <v>34</v>
      </c>
    </row>
    <row r="63" spans="1:2" x14ac:dyDescent="0.4">
      <c r="A63" s="4">
        <v>3.54971960599282</v>
      </c>
      <c r="B63">
        <v>18</v>
      </c>
    </row>
    <row r="64" spans="1:2" x14ac:dyDescent="0.4">
      <c r="A64" s="4">
        <v>3.5818891836286699</v>
      </c>
      <c r="B64">
        <v>16</v>
      </c>
    </row>
    <row r="65" spans="1:2" x14ac:dyDescent="0.4">
      <c r="A65" s="4">
        <v>3.5998557231110602</v>
      </c>
      <c r="B65">
        <v>9</v>
      </c>
    </row>
    <row r="66" spans="1:2" x14ac:dyDescent="0.4">
      <c r="A66" s="4">
        <v>3.6407895068709202</v>
      </c>
      <c r="B66">
        <v>12</v>
      </c>
    </row>
    <row r="67" spans="1:2" x14ac:dyDescent="0.4">
      <c r="A67" s="4">
        <v>3.7838968243747901</v>
      </c>
      <c r="B67">
        <v>20</v>
      </c>
    </row>
    <row r="68" spans="1:2" x14ac:dyDescent="0.4">
      <c r="A68" s="4">
        <v>3.7841191866998898</v>
      </c>
      <c r="B68">
        <v>11</v>
      </c>
    </row>
    <row r="69" spans="1:2" x14ac:dyDescent="0.4">
      <c r="A69" s="4">
        <v>3.7880629639810701</v>
      </c>
      <c r="B69">
        <v>16</v>
      </c>
    </row>
    <row r="70" spans="1:2" x14ac:dyDescent="0.4">
      <c r="A70" s="4">
        <v>3.8078675090308098</v>
      </c>
      <c r="B70">
        <v>41</v>
      </c>
    </row>
    <row r="71" spans="1:2" x14ac:dyDescent="0.4">
      <c r="A71" s="4">
        <v>3.80993633594843</v>
      </c>
      <c r="B71">
        <v>26</v>
      </c>
    </row>
    <row r="72" spans="1:2" x14ac:dyDescent="0.4">
      <c r="A72" s="4">
        <v>3.85838369080024</v>
      </c>
      <c r="B72">
        <v>48</v>
      </c>
    </row>
    <row r="73" spans="1:2" x14ac:dyDescent="0.4">
      <c r="A73" s="4">
        <v>3.88980846104602</v>
      </c>
      <c r="B73">
        <v>33</v>
      </c>
    </row>
    <row r="74" spans="1:2" x14ac:dyDescent="0.4">
      <c r="A74" s="4">
        <v>3.90436533489064</v>
      </c>
      <c r="B74">
        <v>2</v>
      </c>
    </row>
    <row r="75" spans="1:2" x14ac:dyDescent="0.4">
      <c r="A75" s="4">
        <v>3.9630744710168102</v>
      </c>
      <c r="B75">
        <v>7</v>
      </c>
    </row>
    <row r="76" spans="1:2" x14ac:dyDescent="0.4">
      <c r="A76" s="4">
        <v>4.0799742123944398</v>
      </c>
      <c r="B76">
        <v>48</v>
      </c>
    </row>
    <row r="77" spans="1:2" x14ac:dyDescent="0.4">
      <c r="A77" s="4">
        <v>4.1792452141665901</v>
      </c>
      <c r="B77">
        <v>6</v>
      </c>
    </row>
    <row r="78" spans="1:2" x14ac:dyDescent="0.4">
      <c r="A78" s="4">
        <v>4.1807447790748098</v>
      </c>
      <c r="B78">
        <v>36</v>
      </c>
    </row>
    <row r="79" spans="1:2" x14ac:dyDescent="0.4">
      <c r="A79" s="4">
        <v>4.1831706777443998</v>
      </c>
      <c r="B79">
        <v>35</v>
      </c>
    </row>
    <row r="80" spans="1:2" x14ac:dyDescent="0.4">
      <c r="A80" s="4">
        <v>4.1931807158670997</v>
      </c>
      <c r="B80">
        <v>32</v>
      </c>
    </row>
    <row r="81" spans="1:2" x14ac:dyDescent="0.4">
      <c r="A81" s="4">
        <v>4.23744462191405</v>
      </c>
      <c r="B81">
        <v>2</v>
      </c>
    </row>
    <row r="82" spans="1:2" x14ac:dyDescent="0.4">
      <c r="A82" s="4">
        <v>4.2404535787167204</v>
      </c>
      <c r="B82">
        <v>1</v>
      </c>
    </row>
    <row r="83" spans="1:2" x14ac:dyDescent="0.4">
      <c r="A83" s="4">
        <v>4.2904022426386303</v>
      </c>
      <c r="B83">
        <v>38</v>
      </c>
    </row>
    <row r="84" spans="1:2" x14ac:dyDescent="0.4">
      <c r="A84" s="4">
        <v>4.3439204820488202</v>
      </c>
      <c r="B84">
        <v>48</v>
      </c>
    </row>
    <row r="85" spans="1:2" x14ac:dyDescent="0.4">
      <c r="A85" s="4">
        <v>4.4045466860674196</v>
      </c>
      <c r="B85">
        <v>40</v>
      </c>
    </row>
    <row r="86" spans="1:2" x14ac:dyDescent="0.4">
      <c r="A86" s="4">
        <v>4.4120378218694398</v>
      </c>
      <c r="B86">
        <v>7</v>
      </c>
    </row>
    <row r="87" spans="1:2" x14ac:dyDescent="0.4">
      <c r="A87" s="4">
        <v>4.4682892743204103</v>
      </c>
      <c r="B87">
        <v>48</v>
      </c>
    </row>
    <row r="88" spans="1:2" x14ac:dyDescent="0.4">
      <c r="A88" s="4">
        <v>4.5094922877118204</v>
      </c>
      <c r="B88">
        <v>35</v>
      </c>
    </row>
    <row r="89" spans="1:2" x14ac:dyDescent="0.4">
      <c r="A89" s="4">
        <v>4.5600213672702603</v>
      </c>
      <c r="B89">
        <v>19</v>
      </c>
    </row>
    <row r="90" spans="1:2" x14ac:dyDescent="0.4">
      <c r="A90" s="4">
        <v>4.5681862207084496</v>
      </c>
      <c r="B90">
        <v>5</v>
      </c>
    </row>
    <row r="91" spans="1:2" x14ac:dyDescent="0.4">
      <c r="A91" s="4">
        <v>4.6529622102258799</v>
      </c>
      <c r="B91">
        <v>12</v>
      </c>
    </row>
    <row r="92" spans="1:2" x14ac:dyDescent="0.4">
      <c r="A92" s="4">
        <v>4.6594575608817896</v>
      </c>
      <c r="B92">
        <v>36</v>
      </c>
    </row>
    <row r="93" spans="1:2" x14ac:dyDescent="0.4">
      <c r="A93" s="4">
        <v>4.7132742503509002</v>
      </c>
      <c r="B93">
        <v>3</v>
      </c>
    </row>
    <row r="94" spans="1:2" x14ac:dyDescent="0.4">
      <c r="A94" s="4">
        <v>4.7446190966431203</v>
      </c>
      <c r="B94">
        <v>1</v>
      </c>
    </row>
    <row r="95" spans="1:2" x14ac:dyDescent="0.4">
      <c r="A95" s="4">
        <v>4.7618343374116501</v>
      </c>
      <c r="B95">
        <v>3</v>
      </c>
    </row>
    <row r="96" spans="1:2" x14ac:dyDescent="0.4">
      <c r="A96" s="4">
        <v>4.8157143080103397</v>
      </c>
      <c r="B96">
        <v>20</v>
      </c>
    </row>
    <row r="97" spans="1:2" x14ac:dyDescent="0.4">
      <c r="A97" s="4">
        <v>4.8194611226527702</v>
      </c>
      <c r="B97">
        <v>22</v>
      </c>
    </row>
    <row r="98" spans="1:2" x14ac:dyDescent="0.4">
      <c r="A98" s="4">
        <v>4.8505936587117002</v>
      </c>
      <c r="B98">
        <v>21</v>
      </c>
    </row>
    <row r="99" spans="1:2" x14ac:dyDescent="0.4">
      <c r="A99" s="4">
        <v>4.8544799083570096</v>
      </c>
      <c r="B99">
        <v>32</v>
      </c>
    </row>
    <row r="100" spans="1:2" x14ac:dyDescent="0.4">
      <c r="A100" s="4">
        <v>4.8666192761746698</v>
      </c>
      <c r="B100">
        <v>20</v>
      </c>
    </row>
    <row r="101" spans="1:2" x14ac:dyDescent="0.4">
      <c r="A101" s="4">
        <v>4.8920422190097801</v>
      </c>
      <c r="B101">
        <v>38</v>
      </c>
    </row>
    <row r="102" spans="1:2" x14ac:dyDescent="0.4">
      <c r="A102" s="4">
        <v>4.90340831785013</v>
      </c>
      <c r="B102">
        <v>35</v>
      </c>
    </row>
    <row r="103" spans="1:2" x14ac:dyDescent="0.4">
      <c r="A103" s="4">
        <v>4.9602154004170496</v>
      </c>
      <c r="B103">
        <v>31</v>
      </c>
    </row>
    <row r="104" spans="1:2" x14ac:dyDescent="0.4">
      <c r="A104" s="4" t="s">
        <v>37</v>
      </c>
      <c r="B104">
        <v>2447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A0AE-508D-47D9-8968-A590CAB86073}">
  <dimension ref="A3:B22"/>
  <sheetViews>
    <sheetView tabSelected="1" workbookViewId="0">
      <selection activeCell="J20" sqref="J20"/>
    </sheetView>
  </sheetViews>
  <sheetFormatPr defaultRowHeight="14.6" x14ac:dyDescent="0.4"/>
  <cols>
    <col min="1" max="1" width="12.3828125" bestFit="1" customWidth="1"/>
    <col min="2" max="2" width="21.84375" bestFit="1" customWidth="1"/>
  </cols>
  <sheetData>
    <row r="3" spans="1:2" x14ac:dyDescent="0.4">
      <c r="A3" t="s">
        <v>36</v>
      </c>
      <c r="B3" t="s">
        <v>40</v>
      </c>
    </row>
    <row r="4" spans="1:2" x14ac:dyDescent="0.4">
      <c r="A4" s="4">
        <v>1</v>
      </c>
      <c r="B4">
        <v>6</v>
      </c>
    </row>
    <row r="5" spans="1:2" x14ac:dyDescent="0.4">
      <c r="A5" s="4">
        <v>2</v>
      </c>
      <c r="B5">
        <v>4</v>
      </c>
    </row>
    <row r="6" spans="1:2" x14ac:dyDescent="0.4">
      <c r="A6" s="4">
        <v>3</v>
      </c>
      <c r="B6">
        <v>7</v>
      </c>
    </row>
    <row r="7" spans="1:2" x14ac:dyDescent="0.4">
      <c r="A7" s="4">
        <v>4</v>
      </c>
      <c r="B7">
        <v>8</v>
      </c>
    </row>
    <row r="8" spans="1:2" x14ac:dyDescent="0.4">
      <c r="A8" s="4">
        <v>5</v>
      </c>
      <c r="B8">
        <v>10</v>
      </c>
    </row>
    <row r="9" spans="1:2" x14ac:dyDescent="0.4">
      <c r="A9" s="4">
        <v>7</v>
      </c>
      <c r="B9">
        <v>5</v>
      </c>
    </row>
    <row r="10" spans="1:2" x14ac:dyDescent="0.4">
      <c r="A10" s="4">
        <v>8</v>
      </c>
      <c r="B10">
        <v>2</v>
      </c>
    </row>
    <row r="11" spans="1:2" x14ac:dyDescent="0.4">
      <c r="A11" s="4">
        <v>9</v>
      </c>
      <c r="B11">
        <v>5</v>
      </c>
    </row>
    <row r="12" spans="1:2" x14ac:dyDescent="0.4">
      <c r="A12" s="4">
        <v>10</v>
      </c>
      <c r="B12">
        <v>5</v>
      </c>
    </row>
    <row r="13" spans="1:2" x14ac:dyDescent="0.4">
      <c r="A13" s="4">
        <v>11</v>
      </c>
      <c r="B13">
        <v>3</v>
      </c>
    </row>
    <row r="14" spans="1:2" x14ac:dyDescent="0.4">
      <c r="A14" s="4">
        <v>12</v>
      </c>
      <c r="B14">
        <v>9</v>
      </c>
    </row>
    <row r="15" spans="1:2" x14ac:dyDescent="0.4">
      <c r="A15" s="4">
        <v>13</v>
      </c>
      <c r="B15">
        <v>5</v>
      </c>
    </row>
    <row r="16" spans="1:2" x14ac:dyDescent="0.4">
      <c r="A16" s="4">
        <v>14</v>
      </c>
      <c r="B16">
        <v>3</v>
      </c>
    </row>
    <row r="17" spans="1:2" x14ac:dyDescent="0.4">
      <c r="A17" s="4">
        <v>15</v>
      </c>
      <c r="B17">
        <v>1</v>
      </c>
    </row>
    <row r="18" spans="1:2" x14ac:dyDescent="0.4">
      <c r="A18" s="4">
        <v>16</v>
      </c>
      <c r="B18">
        <v>7</v>
      </c>
    </row>
    <row r="19" spans="1:2" x14ac:dyDescent="0.4">
      <c r="A19" s="4">
        <v>17</v>
      </c>
      <c r="B19">
        <v>9</v>
      </c>
    </row>
    <row r="20" spans="1:2" x14ac:dyDescent="0.4">
      <c r="A20" s="4">
        <v>18</v>
      </c>
      <c r="B20">
        <v>4</v>
      </c>
    </row>
    <row r="21" spans="1:2" x14ac:dyDescent="0.4">
      <c r="A21" s="4">
        <v>19</v>
      </c>
      <c r="B21">
        <v>7</v>
      </c>
    </row>
    <row r="22" spans="1:2" x14ac:dyDescent="0.4">
      <c r="A22" s="4" t="s">
        <v>37</v>
      </c>
      <c r="B22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4287-B3D6-48DE-86E0-C3468FCDEE32}">
  <dimension ref="A3:D11"/>
  <sheetViews>
    <sheetView workbookViewId="0">
      <selection activeCell="K7" sqref="K7"/>
    </sheetView>
  </sheetViews>
  <sheetFormatPr defaultRowHeight="14.6" x14ac:dyDescent="0.4"/>
  <cols>
    <col min="1" max="1" width="12.3828125" bestFit="1" customWidth="1"/>
    <col min="2" max="2" width="12.07421875" bestFit="1" customWidth="1"/>
    <col min="3" max="3" width="13.23046875" bestFit="1" customWidth="1"/>
    <col min="4" max="4" width="12.765625" bestFit="1" customWidth="1"/>
  </cols>
  <sheetData>
    <row r="3" spans="1:4" x14ac:dyDescent="0.4">
      <c r="A3" t="s">
        <v>36</v>
      </c>
      <c r="B3" t="s">
        <v>68</v>
      </c>
      <c r="C3" t="s">
        <v>69</v>
      </c>
      <c r="D3" t="s">
        <v>70</v>
      </c>
    </row>
    <row r="4" spans="1:4" x14ac:dyDescent="0.4">
      <c r="A4" s="4" t="s">
        <v>61</v>
      </c>
      <c r="B4">
        <v>1762829</v>
      </c>
      <c r="C4">
        <v>178371</v>
      </c>
      <c r="D4">
        <v>48419</v>
      </c>
    </row>
    <row r="5" spans="1:4" x14ac:dyDescent="0.4">
      <c r="A5" s="4" t="s">
        <v>62</v>
      </c>
      <c r="B5">
        <v>1419516</v>
      </c>
      <c r="C5">
        <v>159633</v>
      </c>
      <c r="D5">
        <v>38986</v>
      </c>
    </row>
    <row r="6" spans="1:4" x14ac:dyDescent="0.4">
      <c r="A6" s="4" t="s">
        <v>63</v>
      </c>
      <c r="B6">
        <v>1633740</v>
      </c>
      <c r="C6">
        <v>174213</v>
      </c>
      <c r="D6">
        <v>35965</v>
      </c>
    </row>
    <row r="7" spans="1:4" x14ac:dyDescent="0.4">
      <c r="A7" s="4" t="s">
        <v>64</v>
      </c>
      <c r="B7">
        <v>2161756</v>
      </c>
      <c r="C7">
        <v>179736</v>
      </c>
      <c r="D7">
        <v>32392</v>
      </c>
    </row>
    <row r="8" spans="1:4" x14ac:dyDescent="0.4">
      <c r="A8" s="4" t="s">
        <v>65</v>
      </c>
      <c r="B8">
        <v>932042</v>
      </c>
      <c r="C8">
        <v>177906</v>
      </c>
      <c r="D8">
        <v>28748</v>
      </c>
    </row>
    <row r="9" spans="1:4" x14ac:dyDescent="0.4">
      <c r="A9" s="4" t="s">
        <v>66</v>
      </c>
      <c r="B9">
        <v>1537291</v>
      </c>
      <c r="C9">
        <v>171779</v>
      </c>
      <c r="D9">
        <v>47662</v>
      </c>
    </row>
    <row r="10" spans="1:4" x14ac:dyDescent="0.4">
      <c r="A10" s="4" t="s">
        <v>67</v>
      </c>
      <c r="B10">
        <v>1484977</v>
      </c>
      <c r="C10">
        <v>164182</v>
      </c>
      <c r="D10">
        <v>27693</v>
      </c>
    </row>
    <row r="11" spans="1:4" x14ac:dyDescent="0.4">
      <c r="A11" s="4" t="s">
        <v>37</v>
      </c>
      <c r="B11">
        <v>10932151</v>
      </c>
      <c r="C11">
        <v>179736</v>
      </c>
      <c r="D11">
        <v>27693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D368D-3531-4F84-99C8-EEB726EC13B2}">
  <dimension ref="A3:B11"/>
  <sheetViews>
    <sheetView workbookViewId="0">
      <selection activeCell="F19" sqref="F19"/>
    </sheetView>
  </sheetViews>
  <sheetFormatPr defaultRowHeight="14.6" x14ac:dyDescent="0.4"/>
  <cols>
    <col min="1" max="1" width="13.53515625" bestFit="1" customWidth="1"/>
    <col min="2" max="2" width="20.765625" bestFit="1" customWidth="1"/>
  </cols>
  <sheetData>
    <row r="3" spans="1:2" x14ac:dyDescent="0.4">
      <c r="A3" t="s">
        <v>36</v>
      </c>
      <c r="B3" t="s">
        <v>39</v>
      </c>
    </row>
    <row r="4" spans="1:2" x14ac:dyDescent="0.4">
      <c r="A4" s="4" t="s">
        <v>71</v>
      </c>
      <c r="B4">
        <v>385</v>
      </c>
    </row>
    <row r="5" spans="1:2" x14ac:dyDescent="0.4">
      <c r="A5" s="4" t="s">
        <v>72</v>
      </c>
      <c r="B5">
        <v>227</v>
      </c>
    </row>
    <row r="6" spans="1:2" x14ac:dyDescent="0.4">
      <c r="A6" s="4" t="s">
        <v>73</v>
      </c>
      <c r="B6">
        <v>460</v>
      </c>
    </row>
    <row r="7" spans="1:2" x14ac:dyDescent="0.4">
      <c r="A7" s="4" t="s">
        <v>74</v>
      </c>
      <c r="B7">
        <v>254</v>
      </c>
    </row>
    <row r="8" spans="1:2" x14ac:dyDescent="0.4">
      <c r="A8" s="4" t="s">
        <v>75</v>
      </c>
      <c r="B8">
        <v>565</v>
      </c>
    </row>
    <row r="9" spans="1:2" x14ac:dyDescent="0.4">
      <c r="A9" s="4" t="s">
        <v>76</v>
      </c>
      <c r="B9">
        <v>430</v>
      </c>
    </row>
    <row r="10" spans="1:2" x14ac:dyDescent="0.4">
      <c r="A10" s="4" t="s">
        <v>77</v>
      </c>
      <c r="B10">
        <v>126</v>
      </c>
    </row>
    <row r="11" spans="1:2" x14ac:dyDescent="0.4">
      <c r="A11" s="4" t="s">
        <v>37</v>
      </c>
      <c r="B11">
        <v>2447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0D7DAE-986A-4901-B07F-09C0B94152D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b5da5f35-6442-4f5a-9622-92ec6a535127}" enabled="0" method="" siteId="{b5da5f35-6442-4f5a-9622-92ec6a53512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Assignment_Data7 to 10</vt:lpstr>
      <vt:lpstr>Stastics question</vt:lpstr>
      <vt:lpstr>Stastics assignment</vt:lpstr>
      <vt:lpstr>Q-5</vt:lpstr>
      <vt:lpstr>Q-6</vt:lpstr>
      <vt:lpstr>Q-10</vt:lpstr>
      <vt:lpstr>Pivot assignment</vt:lpstr>
      <vt:lpstr>Avg Salary acc to age</vt:lpstr>
      <vt:lpstr>Satisfaction -Score Value</vt:lpstr>
      <vt:lpstr>Visit per frequency  Records</vt:lpstr>
      <vt:lpstr>Min Ma Avg Salary By Age Group</vt:lpstr>
      <vt:lpstr>Salary Range Purchase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 Jeswani</dc:creator>
  <cp:lastModifiedBy>Naresh Hariyani</cp:lastModifiedBy>
  <dcterms:created xsi:type="dcterms:W3CDTF">2026-02-09T11:55:08Z</dcterms:created>
  <dcterms:modified xsi:type="dcterms:W3CDTF">2026-03-07T16:41:59Z</dcterms:modified>
</cp:coreProperties>
</file>