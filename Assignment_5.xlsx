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pivotTables/pivotTable15.xml" ContentType="application/vnd.openxmlformats-officedocument.spreadsheetml.pivotTable+xml"/>
  <Override PartName="/xl/drawings/drawing7.xml" ContentType="application/vnd.openxmlformats-officedocument.drawing+xml"/>
  <Override PartName="/xl/timelines/timeline1.xml" ContentType="application/vnd.ms-excel.timelin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1.xml" ContentType="application/vnd.openxmlformats-officedocument.drawing+xml"/>
  <Override PartName="/xl/timelines/timeline2.xml" ContentType="application/vnd.ms-excel.timeline+xml"/>
  <Override PartName="/xl/drawings/drawing12.xml" ContentType="application/vnd.openxmlformats-officedocument.drawing+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2.xml" ContentType="application/vnd.openxmlformats-officedocument.spreadsheetml.pivotTable+xml"/>
  <Override PartName="/xl/drawings/drawing1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1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604723\Downloads\"/>
    </mc:Choice>
  </mc:AlternateContent>
  <xr:revisionPtr revIDLastSave="0" documentId="8_{5F40B5FE-5D85-48F4-B2D8-3D57BB90F3B7}" xr6:coauthVersionLast="47" xr6:coauthVersionMax="47" xr10:uidLastSave="{00000000-0000-0000-0000-000000000000}"/>
  <bookViews>
    <workbookView xWindow="-110" yWindow="-110" windowWidth="19420" windowHeight="10300" firstSheet="33" activeTab="33" xr2:uid="{00000000-000D-0000-FFFF-FFFF00000000}"/>
  </bookViews>
  <sheets>
    <sheet name="Sales Analysis" sheetId="1" r:id="rId1"/>
    <sheet name="HR Attrition" sheetId="2" r:id="rId2"/>
    <sheet name="Inventory" sheetId="3" r:id="rId3"/>
    <sheet name="Expense Tracking" sheetId="4" r:id="rId4"/>
    <sheet name="Customer Orders" sheetId="5" r:id="rId5"/>
    <sheet name="Revenue by region" sheetId="6" r:id="rId6"/>
    <sheet name="Revenue&amp;Profit by salesperson" sheetId="7" r:id="rId7"/>
    <sheet name="Monthly sales trend" sheetId="8" r:id="rId8"/>
    <sheet name="Top 5 products by revenue" sheetId="9" r:id="rId9"/>
    <sheet name="Line chart" sheetId="10" r:id="rId10"/>
    <sheet name="Bar chart" sheetId="12" r:id="rId11"/>
    <sheet name="Top salesperson" sheetId="13" r:id="rId12"/>
    <sheet name="Slicer" sheetId="14" r:id="rId13"/>
    <sheet name="Active employee by dept" sheetId="16" r:id="rId14"/>
    <sheet name="Attrition count by dept&amp;gender" sheetId="17" r:id="rId15"/>
    <sheet name="Avg age &amp; salary by dept" sheetId="18" r:id="rId16"/>
    <sheet name="Year wise attrition" sheetId="19" r:id="rId17"/>
    <sheet name="Donut chart (Gender chart)" sheetId="20" r:id="rId18"/>
    <sheet name="Column chart-Attrition by dept" sheetId="21" r:id="rId19"/>
    <sheet name="KPI Cards" sheetId="15" r:id="rId20"/>
    <sheet name="Timeline filter" sheetId="22" r:id="rId21"/>
    <sheet name="Stock movement" sheetId="24" r:id="rId22"/>
    <sheet name="Closing stock by category" sheetId="25" r:id="rId23"/>
    <sheet name="Line chart weekly" sheetId="29" r:id="rId24"/>
    <sheet name="Slicer for Warehouse" sheetId="30" r:id="rId25"/>
    <sheet name="Highlight table for low stock" sheetId="31" r:id="rId26"/>
    <sheet name="Budget vs Expense by Department" sheetId="32" r:id="rId27"/>
    <sheet name="% Budget Used by Category" sheetId="33" r:id="rId28"/>
    <sheet name="Monthly Expense Trend" sheetId="34" r:id="rId29"/>
    <sheet name="Project-wise expense breakdown" sheetId="35" r:id="rId30"/>
    <sheet name="Bar chart  Actual vs Budget" sheetId="36" r:id="rId31"/>
    <sheet name="Heatmap for % Budget Utilizatio" sheetId="37" r:id="rId32"/>
    <sheet name="Timeline filter-Expense" sheetId="38" r:id="rId33"/>
    <sheet name="KPI Cards Budget,Expense,Overun" sheetId="39" r:id="rId34"/>
    <sheet name="Orders by Customer and Status" sheetId="40" r:id="rId35"/>
    <sheet name="Avg Delivery Duration by Produc" sheetId="41" r:id="rId36"/>
    <sheet name="Monthly Order Count and Value" sheetId="42" r:id="rId37"/>
    <sheet name="Delay Count by Customer" sheetId="43" r:id="rId38"/>
    <sheet name="Line chart-Month order &amp; revenu" sheetId="44" r:id="rId39"/>
    <sheet name="Bar chart-Orders by customer" sheetId="45" r:id="rId40"/>
    <sheet name=" Avg Delivery Time by Product" sheetId="46" r:id="rId41"/>
    <sheet name="Slicer Delivery Status&amp;product" sheetId="47" r:id="rId42"/>
  </sheets>
  <definedNames>
    <definedName name="_xlnm._FilterDatabase" localSheetId="25" hidden="1">'Highlight table for low stock'!$A$1:$H$1</definedName>
    <definedName name="_xlnm._FilterDatabase" localSheetId="2" hidden="1">Inventory!$A$1:$H$1</definedName>
    <definedName name="_xlnm._FilterDatabase" localSheetId="0" hidden="1">'Sales Analysis'!$A$1:$H$1</definedName>
    <definedName name="_xlnm._FilterDatabase" localSheetId="8" hidden="1">'Top 5 products by revenue'!$A$3:$B$9</definedName>
    <definedName name="_xlnm._FilterDatabase" localSheetId="11" hidden="1">'Top salesperson'!$A$3:$B$9</definedName>
    <definedName name="_xlcn.WorksheetConnection_CustomerOrdersA1H311" hidden="1">'Customer Orders'!$A$1:$H$31</definedName>
    <definedName name="_xlcn.WorksheetConnection_ExpenseTrackingA1F311" hidden="1">'Expense Tracking'!$A$1:$F$31</definedName>
    <definedName name="_xlcn.WorksheetConnection_HRAttritionA1H311" hidden="1">'HR Attrition'!$A$1:$H$31</definedName>
    <definedName name="_xlcn.WorksheetConnection_InventoryA1H311" hidden="1">Inventory!$A$1:$H$31</definedName>
    <definedName name="_xlcn.WorksheetConnection_SalesAnalysisA1H311" hidden="1">'Sales Analysis'!$A$1:$H$31</definedName>
    <definedName name="Slicer_Delivery_Status">#N/A</definedName>
    <definedName name="Slicer_Product">#N/A</definedName>
    <definedName name="Slicer_Product1">#N/A</definedName>
    <definedName name="Slicer_Region">#N/A</definedName>
    <definedName name="Slicer_Warehouse">#N/A</definedName>
    <definedName name="Timeline_Date">#N/A</definedName>
    <definedName name="Timeline_Join_Date">#N/A</definedName>
  </definedNames>
  <calcPr calcId="191028"/>
  <pivotCaches>
    <pivotCache cacheId="1282" r:id="rId43"/>
    <pivotCache cacheId="1283" r:id="rId44"/>
    <pivotCache cacheId="1284" r:id="rId45"/>
    <pivotCache cacheId="1285" r:id="rId46"/>
    <pivotCache cacheId="1286" r:id="rId47"/>
    <pivotCache cacheId="1287" r:id="rId48"/>
    <pivotCache cacheId="1288" r:id="rId49"/>
    <pivotCache cacheId="1289" r:id="rId50"/>
    <pivotCache cacheId="1290" r:id="rId51"/>
    <pivotCache cacheId="1291" r:id="rId52"/>
    <pivotCache cacheId="1292" r:id="rId53"/>
    <pivotCache cacheId="1293" r:id="rId54"/>
    <pivotCache cacheId="1294" r:id="rId55"/>
    <pivotCache cacheId="1295" r:id="rId56"/>
    <pivotCache cacheId="1296" r:id="rId57"/>
    <pivotCache cacheId="1297" r:id="rId58"/>
    <pivotCache cacheId="1298" r:id="rId59"/>
    <pivotCache cacheId="1299" r:id="rId60"/>
    <pivotCache cacheId="1300" r:id="rId61"/>
    <pivotCache cacheId="1301" r:id="rId62"/>
    <pivotCache cacheId="1302" r:id="rId63"/>
    <pivotCache cacheId="1303" r:id="rId64"/>
    <pivotCache cacheId="1304" r:id="rId65"/>
    <pivotCache cacheId="1305" r:id="rId66"/>
    <pivotCache cacheId="1306" r:id="rId67"/>
    <pivotCache cacheId="1307" r:id="rId68"/>
    <pivotCache cacheId="1308" r:id="rId69"/>
    <pivotCache cacheId="1309" r:id="rId70"/>
    <pivotCache cacheId="1312" r:id="rId71"/>
    <pivotCache cacheId="1326" r:id="rId72"/>
    <pivotCache cacheId="1343" r:id="rId73"/>
    <pivotCache cacheId="1344" r:id="rId74"/>
    <pivotCache cacheId="1355" r:id="rId75"/>
    <pivotCache cacheId="1370" r:id="rId76"/>
  </pivotCaches>
  <extLst>
    <ext xmlns:x14="http://schemas.microsoft.com/office/spreadsheetml/2009/9/main" uri="{876F7934-8845-4945-9796-88D515C7AA90}">
      <x14:pivotCaches>
        <pivotCache cacheId="155" r:id="rId77"/>
        <pivotCache cacheId="856" r:id="rId78"/>
        <pivotCache cacheId="1367" r:id="rId79"/>
      </x14:pivotCaches>
    </ext>
    <ext xmlns:x14="http://schemas.microsoft.com/office/spreadsheetml/2009/9/main" uri="{BBE1A952-AA13-448e-AADC-164F8A28A991}">
      <x14:slicerCaches>
        <x14:slicerCache r:id="rId80"/>
        <x14:slicerCache r:id="rId81"/>
        <x14:slicerCache r:id="rId82"/>
        <x14:slicerCache r:id="rId83"/>
        <x14:slicerCache r:id="rId8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95" r:id="rId85"/>
        <pivotCache cacheId="1085" r:id="rId86"/>
      </x15:timelineCachePivotCaches>
    </ext>
    <ext xmlns:x15="http://schemas.microsoft.com/office/spreadsheetml/2010/11/main" uri="{D0CA8CA8-9F24-4464-BF8E-62219DCF47F9}">
      <x15:timelineCacheRefs>
        <x15:timelineCacheRef r:id="rId87"/>
        <x15:timelineCacheRef r:id="rId88"/>
      </x15:timelineCacheRefs>
    </ext>
    <ext xmlns:x15="http://schemas.microsoft.com/office/spreadsheetml/2010/11/main" uri="{FCE2AD5D-F65C-4FA6-A056-5C36A1767C68}">
      <x15:dataModel>
        <x15:modelTables>
          <x15:modelTable id="Range" name="Range" connection="WorksheetConnection_Sales Analysis!$A$1:$H$31"/>
          <x15:modelTable id="Range 1" name="Range 1" connection="WorksheetConnection_HR Attrition!$A$1:$H$31"/>
          <x15:modelTable id="Range 2" name="Range 2" connection="WorksheetConnection_Inventory!$A$1:$H$31"/>
          <x15:modelTable id="Range 3" name="Range 3" connection="WorksheetConnection_Expense Tracking!$A$1:$F$31"/>
          <x15:modelTable id="Range 4" name="Range 4" connection="WorksheetConnection_Customer Orders!$A$1:$H$3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1" columnName="Exit Date" columnId="Exit Date">
                <x16:calculatedTimeColumn columnName="Exit Date (Year)" columnId="Exit Date (Year)" contentType="years" isSelected="1"/>
                <x16:calculatedTimeColumn columnName="Exit Date (Quarter)" columnId="Exit Date (Quarter)" contentType="quarters" isSelected="0"/>
                <x16:calculatedTimeColumn columnName="Exit Date (Month Index)" columnId="Exit Date (Month Index)" contentType="monthsindex" isSelected="0"/>
                <x16:calculatedTimeColumn columnName="Exit Date (Month)" columnId="Exit Date (Month)" contentType="months" isSelected="0"/>
              </x16:modelTimeGrouping>
              <x16:modelTimeGrouping tableName="Range 2" columnName="Date" columnId="Date">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 tableName="Range 3"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4"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7" l="1"/>
  <c r="D5" i="37"/>
  <c r="D6" i="37"/>
  <c r="D7" i="37"/>
  <c r="D4" i="37"/>
  <c r="D5" i="33"/>
  <c r="D6" i="33"/>
  <c r="D7" i="33"/>
  <c r="D4" i="33"/>
  <c r="D8" i="33" s="1"/>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378A58-EE0A-4B75-B324-83091530E4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C2B239-A9D6-4A03-83FE-309BC5D727C8}" name="WorksheetConnection_Customer Orders!$A$1:$H$31" type="102" refreshedVersion="8" minRefreshableVersion="5">
    <extLst>
      <ext xmlns:x15="http://schemas.microsoft.com/office/spreadsheetml/2010/11/main" uri="{DE250136-89BD-433C-8126-D09CA5730AF9}">
        <x15:connection id="Range 4" autoDelete="1">
          <x15:rangePr sourceName="_xlcn.WorksheetConnection_CustomerOrdersA1H311"/>
        </x15:connection>
      </ext>
    </extLst>
  </connection>
  <connection id="3" xr16:uid="{20026574-934F-403E-ADBD-F4E978000D69}" name="WorksheetConnection_Expense Tracking!$A$1:$F$31" type="102" refreshedVersion="8" minRefreshableVersion="5">
    <extLst>
      <ext xmlns:x15="http://schemas.microsoft.com/office/spreadsheetml/2010/11/main" uri="{DE250136-89BD-433C-8126-D09CA5730AF9}">
        <x15:connection id="Range 3" autoDelete="1">
          <x15:rangePr sourceName="_xlcn.WorksheetConnection_ExpenseTrackingA1F311"/>
        </x15:connection>
      </ext>
    </extLst>
  </connection>
  <connection id="4" xr16:uid="{84859FD5-BC80-4CF9-ACD1-42A7B8886D09}" name="WorksheetConnection_HR Attrition!$A$1:$H$31" type="102" refreshedVersion="8" minRefreshableVersion="5">
    <extLst>
      <ext xmlns:x15="http://schemas.microsoft.com/office/spreadsheetml/2010/11/main" uri="{DE250136-89BD-433C-8126-D09CA5730AF9}">
        <x15:connection id="Range 1" autoDelete="1">
          <x15:rangePr sourceName="_xlcn.WorksheetConnection_HRAttritionA1H311"/>
        </x15:connection>
      </ext>
    </extLst>
  </connection>
  <connection id="5" xr16:uid="{D17AACFA-8CE4-43C4-873E-0533C55C6FA1}" name="WorksheetConnection_Inventory!$A$1:$H$31" type="102" refreshedVersion="8" minRefreshableVersion="5">
    <extLst>
      <ext xmlns:x15="http://schemas.microsoft.com/office/spreadsheetml/2010/11/main" uri="{DE250136-89BD-433C-8126-D09CA5730AF9}">
        <x15:connection id="Range 2" autoDelete="1">
          <x15:rangePr sourceName="_xlcn.WorksheetConnection_InventoryA1H311"/>
        </x15:connection>
      </ext>
    </extLst>
  </connection>
  <connection id="6" xr16:uid="{70F41BA7-7E90-43F1-84C6-88F6BA8352BA}" name="WorksheetConnection_Sales Analysis!$A$1:$H$31" type="102" refreshedVersion="8" minRefreshableVersion="5">
    <extLst>
      <ext xmlns:x15="http://schemas.microsoft.com/office/spreadsheetml/2010/11/main" uri="{DE250136-89BD-433C-8126-D09CA5730AF9}">
        <x15:connection id="Range" autoDelete="1">
          <x15:rangePr sourceName="_xlcn.WorksheetConnection_SalesAnalysisA1H3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Range 1].[Status].&amp;[Active]}"/>
    <s v="{[Range 1].[Status].&amp;[Resigned]}"/>
    <s v="{[Range 4].[Delivery Status].&amp;[Delayed]}"/>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<sst xmlns="http://schemas.openxmlformats.org/spreadsheetml/2006/main" count="1014" uniqueCount="243">
  <si>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</si>
  <si>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</si>
  <si>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</si>
  <si>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</si>
  <si>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</si>
  <si>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</si>
  <si>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</si>
  <si>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</si>
  <si>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</si>
  <si>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</si>
  <si>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</si>
  <si>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</si>
  <si>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</si>
  <si>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</si>
  <si>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</si>
  <si>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</si>
  <si>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</si>
  <si>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</si>
  <si>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</si>
  <si>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</si>
  <si>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</si>
  <si>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</si>
  <si>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</si>
  <si>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</si>
  <si>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</si>
  <si>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</si>
  <si>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</si>
  <si>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</si>
  <si>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</si>
  <si>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</si>
  <si>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</si>
  <si>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</si>
  <si>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</si>
  <si>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</si>
  <si>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</si>
  <si>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</si>
  <si>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</si>
  <si>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</si>
  <si>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</si>
  <si>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</si>
  <si>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</si>
  <si>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</si>
  <si>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</si>
  <si>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</si>
  <si>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</si>
  <si>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</si>
  <si>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</si>
  <si>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</si>
  <si>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</si>
  <si>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</si>
  <si>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</si>
  <si>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</si>
  <si>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</si>
  <si>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</si>
  <si>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</si>
  <si>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</si>
  <si>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</si>
  <si>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</si>
  <si>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</si>
  <si>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</si>
  <si>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</si>
  <si>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</si>
  <si>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</si>
  <si>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</si>
  <si>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</si>
  <si>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</si>
  <si>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</si>
  <si>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</si>
  <si>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</si>
  <si>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</si>
  <si>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</si>
  <si>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</si>
  <si>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</si>
  <si>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</si>
  <si>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</si>
  <si>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</si>
  <si>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</si>
  <si>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</si>
  <si>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</si>
  <si>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</si>
  <si>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</si>
  <si>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</si>
  <si>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</si>
  <si>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</si>
  <si>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</si>
  <si>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</si>
  <si>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</si>
  <si>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</si>
  <si>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</si>
  <si>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</si>
  <si>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</si>
  <si>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</si>
  <si>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</si>
  <si>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</si>
  <si>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</si>
  <si>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</si>
  <si>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</si>
  <si>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</si>
  <si>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</si>
  <si>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</si>
  <si>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</si>
  <si>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</si>
  <si>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</si>
  <si>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</si>
  <si>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</si>
  <si>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</si>
  <si>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</si>
  <si>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</si>
  <si>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</si>
  <si>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</si>
  <si>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</si>
  <si>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</si>
  <si>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</si>
  <si>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</si>
  <si>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</si>
  <si>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</si>
  <si>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</si>
  <si>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</si>
  <si>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</si>
  <si>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</si>
  <si>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</si>
  <si>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</si>
  <si>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</si>
  <si>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</si>
  <si>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</si>
  <si>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</si>
  <si>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</si>
  <si>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</si>
  <si>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</si>
  <si>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</si>
  <si>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</si>
  <si>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</si>
  <si>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</si>
  <si>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</si>
  <si>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</si>
  <si>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</si>
  <si>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</si>
  <si>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</si>
  <si>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</si>
  <si>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</si>
  <si>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</si>
  <si>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</si>
  <si>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</si>
  <si>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</si>
  <si>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</si>
  <si>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</si>
  <si>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</si>
  <si>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</si>
  <si>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</si>
  <si>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</si>
  <si>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</si>
  <si>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</si>
  <si>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</si>
  <si>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</si>
  <si>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</si>
  <si>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</si>
  <si>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</si>
  <si>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</si>
  <si>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</si>
  <si>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</si>
  <si>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</si>
  <si>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</si>
  <si>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</si>
  <si>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</si>
  <si>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</si>
  <si>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</si>
  <si>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</si>
  <si>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</si>
  <si>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</si>
  <si>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</si>
  <si>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</si>
  <si>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</si>
  <si>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</si>
  <si>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</si>
  <si>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Row Labels</t>
  </si>
  <si>
    <t>Grand Total</t>
  </si>
  <si>
    <t>Sum of Revenue</t>
  </si>
  <si>
    <t>Sum of Profit</t>
  </si>
  <si>
    <t>Column Labels</t>
  </si>
  <si>
    <t>Jan</t>
  </si>
  <si>
    <t>Feb</t>
  </si>
  <si>
    <t>Mar</t>
  </si>
  <si>
    <t>Apr</t>
  </si>
  <si>
    <t>May</t>
  </si>
  <si>
    <t>Jun</t>
  </si>
  <si>
    <t>Jul</t>
  </si>
  <si>
    <t>Aug</t>
  </si>
  <si>
    <t>Sep</t>
  </si>
  <si>
    <t>Oct</t>
  </si>
  <si>
    <t>Nov</t>
  </si>
  <si>
    <t>Dec</t>
  </si>
  <si>
    <t>Count of Employee ID</t>
  </si>
  <si>
    <t>Average of Age</t>
  </si>
  <si>
    <t>Average of Salary</t>
  </si>
  <si>
    <t>2021</t>
  </si>
  <si>
    <t>2022</t>
  </si>
  <si>
    <t>2023</t>
  </si>
  <si>
    <t>2024</t>
  </si>
  <si>
    <t>2025</t>
  </si>
  <si>
    <t>2026</t>
  </si>
  <si>
    <t>Headcount
30</t>
  </si>
  <si>
    <t>Sum of Quantity Purchased</t>
  </si>
  <si>
    <t>Sum of Quantity Sold</t>
  </si>
  <si>
    <t>Stock movement</t>
  </si>
  <si>
    <t>Sum of Closing Stock</t>
  </si>
  <si>
    <t>11-Jan</t>
  </si>
  <si>
    <t>15-Jan</t>
  </si>
  <si>
    <t>18-Jan</t>
  </si>
  <si>
    <t>21-Jan</t>
  </si>
  <si>
    <t>15-Feb</t>
  </si>
  <si>
    <t>21-Feb</t>
  </si>
  <si>
    <t>26-Feb</t>
  </si>
  <si>
    <t>2-Mar</t>
  </si>
  <si>
    <t>18-Mar</t>
  </si>
  <si>
    <t>19-Mar</t>
  </si>
  <si>
    <t>10-Apr</t>
  </si>
  <si>
    <t>25-Apr</t>
  </si>
  <si>
    <t>6-May</t>
  </si>
  <si>
    <t>17-Jun</t>
  </si>
  <si>
    <t>23-Jun</t>
  </si>
  <si>
    <t>16-Jul</t>
  </si>
  <si>
    <t>9-Aug</t>
  </si>
  <si>
    <t>15-Aug</t>
  </si>
  <si>
    <t>17-Aug</t>
  </si>
  <si>
    <t>28-Aug</t>
  </si>
  <si>
    <t>20-Sep</t>
  </si>
  <si>
    <t>22-Sep</t>
  </si>
  <si>
    <t>15-Oct</t>
  </si>
  <si>
    <t>25-Oct</t>
  </si>
  <si>
    <t>31-Oct</t>
  </si>
  <si>
    <t>17-Nov</t>
  </si>
  <si>
    <t>1-Dec</t>
  </si>
  <si>
    <t>9-Dec</t>
  </si>
  <si>
    <t>18-Dec</t>
  </si>
  <si>
    <t>26-Dec</t>
  </si>
  <si>
    <t>Sum of Budget</t>
  </si>
  <si>
    <t>Sum of Expense Amount</t>
  </si>
  <si>
    <t>% Budget used</t>
  </si>
  <si>
    <t>% budget used</t>
  </si>
  <si>
    <t>Count of Order ID</t>
  </si>
  <si>
    <t>NV</t>
  </si>
  <si>
    <t>Average of Delivery Duration (Days)</t>
  </si>
  <si>
    <t>Sum of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</si>
</sst>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7" formatCode="d/mm/yyyy;@"/>
  </numFmts>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2" xfId="0" applyFont="1" applyFill="1" applyBorder="1"/>
    <xf numFmtId="14" fontId="0" fillId="0" borderId="0" xfId="0" applyNumberFormat="1"/>
    <xf numFmtId="14" fontId="0" fillId="0" borderId="0" xfId="0" applyNumberFormat="1" applyAlignment="1">
      <alignment horizontal="left"/>
    </xf>
    <xf numFmtId="1" fontId="0" fillId="0" borderId="0" xfId="0" applyNumberFormat="1"/>
    <xf numFmtId="0" fontId="0" fillId="0" borderId="0" xfId="0" applyAlignment="1">
      <alignment wrapText="1"/>
    </xf>
    <xf numFmtId="0" fontId="2" fillId="0" borderId="0" xfId="0" applyFont="1" applyAlignment="1">
      <alignment wrapText="1"/>
    </xf>
    <xf numFmtId="0" fontId="2" fillId="2" borderId="3" xfId="0" applyNumberFormat="1" applyFont="1" applyFill="1" applyBorder="1"/>
    <xf numFmtId="167" fontId="1" fillId="0" borderId="1" xfId="0" applyNumberFormat="1" applyFont="1" applyBorder="1" applyAlignment="1">
      <alignment horizontal="center" vertical="top"/>
    </xf>
    <xf numFmtId="167" fontId="0" fillId="0" borderId="0" xfId="0" applyNumberFormat="1"/>
    <xf numFmtId="0" fontId="1" fillId="3" borderId="1" xfId="0" applyFont="1" applyFill="1" applyBorder="1" applyAlignment="1">
      <alignment horizontal="center" vertical="top"/>
    </xf>
    <xf numFmtId="10" fontId="0" fillId="0" borderId="0" xfId="0" applyNumberFormat="1"/>
    <xf numFmtId="10" fontId="2" fillId="2" borderId="3" xfId="0" applyNumberFormat="1" applyFont="1" applyFill="1" applyBorder="1"/>
  </cellXfs>
  <cellStyles count="1">
    <cellStyle name="Normal" xfId="0" builtinId="0"/>
  </cellStyles>
  <dxfs count="8">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pivotCacheDefinition" Target="pivotCache/pivotCacheDefinition5.xml"/><Relationship Id="rId63" Type="http://schemas.openxmlformats.org/officeDocument/2006/relationships/pivotCacheDefinition" Target="pivotCache/pivotCacheDefinition21.xml"/><Relationship Id="rId68" Type="http://schemas.openxmlformats.org/officeDocument/2006/relationships/pivotCacheDefinition" Target="pivotCache/pivotCacheDefinition26.xml"/><Relationship Id="rId84" Type="http://schemas.microsoft.com/office/2007/relationships/slicerCache" Target="slicerCaches/slicerCache5.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pivotCacheDefinition" Target="pivotCache/pivotCacheDefinition11.xml"/><Relationship Id="rId58" Type="http://schemas.openxmlformats.org/officeDocument/2006/relationships/pivotCacheDefinition" Target="pivotCache/pivotCacheDefinition16.xml"/><Relationship Id="rId74" Type="http://schemas.openxmlformats.org/officeDocument/2006/relationships/pivotCacheDefinition" Target="pivotCache/pivotCacheDefinition32.xml"/><Relationship Id="rId79" Type="http://schemas.openxmlformats.org/officeDocument/2006/relationships/pivotCacheDefinition" Target="pivotCache/pivotCacheDefinition37.xml"/><Relationship Id="rId5" Type="http://schemas.openxmlformats.org/officeDocument/2006/relationships/worksheet" Target="worksheets/sheet5.xml"/><Relationship Id="rId90" Type="http://schemas.openxmlformats.org/officeDocument/2006/relationships/connections" Target="connections.xml"/><Relationship Id="rId95" Type="http://schemas.openxmlformats.org/officeDocument/2006/relationships/calcChain" Target="calcChain.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xml"/><Relationship Id="rId48" Type="http://schemas.openxmlformats.org/officeDocument/2006/relationships/pivotCacheDefinition" Target="pivotCache/pivotCacheDefinition6.xml"/><Relationship Id="rId64" Type="http://schemas.openxmlformats.org/officeDocument/2006/relationships/pivotCacheDefinition" Target="pivotCache/pivotCacheDefinition22.xml"/><Relationship Id="rId69" Type="http://schemas.openxmlformats.org/officeDocument/2006/relationships/pivotCacheDefinition" Target="pivotCache/pivotCacheDefinition27.xml"/><Relationship Id="rId8" Type="http://schemas.openxmlformats.org/officeDocument/2006/relationships/worksheet" Target="worksheets/sheet8.xml"/><Relationship Id="rId51" Type="http://schemas.openxmlformats.org/officeDocument/2006/relationships/pivotCacheDefinition" Target="pivotCache/pivotCacheDefinition9.xml"/><Relationship Id="rId72" Type="http://schemas.openxmlformats.org/officeDocument/2006/relationships/pivotCacheDefinition" Target="pivotCache/pivotCacheDefinition30.xml"/><Relationship Id="rId80" Type="http://schemas.microsoft.com/office/2007/relationships/slicerCache" Target="slicerCaches/slicerCache1.xml"/><Relationship Id="rId85" Type="http://schemas.openxmlformats.org/officeDocument/2006/relationships/pivotCacheDefinition" Target="pivotCache/pivotCacheDefinition38.xml"/><Relationship Id="rId93"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4.xml"/><Relationship Id="rId59" Type="http://schemas.openxmlformats.org/officeDocument/2006/relationships/pivotCacheDefinition" Target="pivotCache/pivotCacheDefinition17.xml"/><Relationship Id="rId67" Type="http://schemas.openxmlformats.org/officeDocument/2006/relationships/pivotCacheDefinition" Target="pivotCache/pivotCacheDefinition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12.xml"/><Relationship Id="rId62" Type="http://schemas.openxmlformats.org/officeDocument/2006/relationships/pivotCacheDefinition" Target="pivotCache/pivotCacheDefinition20.xml"/><Relationship Id="rId70" Type="http://schemas.openxmlformats.org/officeDocument/2006/relationships/pivotCacheDefinition" Target="pivotCache/pivotCacheDefinition28.xml"/><Relationship Id="rId75" Type="http://schemas.openxmlformats.org/officeDocument/2006/relationships/pivotCacheDefinition" Target="pivotCache/pivotCacheDefinition33.xml"/><Relationship Id="rId83" Type="http://schemas.microsoft.com/office/2007/relationships/slicerCache" Target="slicerCaches/slicerCache4.xml"/><Relationship Id="rId88" Type="http://schemas.microsoft.com/office/2011/relationships/timelineCache" Target="timelineCaches/timelineCache2.xml"/><Relationship Id="rId91" Type="http://schemas.openxmlformats.org/officeDocument/2006/relationships/styles" Target="styles.xml"/><Relationship Id="rId9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7.xml"/><Relationship Id="rId57" Type="http://schemas.openxmlformats.org/officeDocument/2006/relationships/pivotCacheDefinition" Target="pivotCache/pivotCacheDefinition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2.xml"/><Relationship Id="rId52" Type="http://schemas.openxmlformats.org/officeDocument/2006/relationships/pivotCacheDefinition" Target="pivotCache/pivotCacheDefinition10.xml"/><Relationship Id="rId60" Type="http://schemas.openxmlformats.org/officeDocument/2006/relationships/pivotCacheDefinition" Target="pivotCache/pivotCacheDefinition18.xml"/><Relationship Id="rId65" Type="http://schemas.openxmlformats.org/officeDocument/2006/relationships/pivotCacheDefinition" Target="pivotCache/pivotCacheDefinition23.xml"/><Relationship Id="rId73" Type="http://schemas.openxmlformats.org/officeDocument/2006/relationships/pivotCacheDefinition" Target="pivotCache/pivotCacheDefinition31.xml"/><Relationship Id="rId78" Type="http://schemas.openxmlformats.org/officeDocument/2006/relationships/pivotCacheDefinition" Target="pivotCache/pivotCacheDefinition36.xml"/><Relationship Id="rId81" Type="http://schemas.microsoft.com/office/2007/relationships/slicerCache" Target="slicerCaches/slicerCache2.xml"/><Relationship Id="rId86" Type="http://schemas.openxmlformats.org/officeDocument/2006/relationships/pivotCacheDefinition" Target="pivotCache/pivotCacheDefinition39.xml"/><Relationship Id="rId9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pivotCacheDefinition" Target="pivotCache/pivotCacheDefinition8.xml"/><Relationship Id="rId55" Type="http://schemas.openxmlformats.org/officeDocument/2006/relationships/pivotCacheDefinition" Target="pivotCache/pivotCacheDefinition13.xml"/><Relationship Id="rId76" Type="http://schemas.openxmlformats.org/officeDocument/2006/relationships/pivotCacheDefinition" Target="pivotCache/pivotCacheDefinition34.xml"/><Relationship Id="rId7" Type="http://schemas.openxmlformats.org/officeDocument/2006/relationships/worksheet" Target="worksheets/sheet7.xml"/><Relationship Id="rId71" Type="http://schemas.openxmlformats.org/officeDocument/2006/relationships/pivotCacheDefinition" Target="pivotCache/pivotCacheDefinition29.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pivotCacheDefinition" Target="pivotCache/pivotCacheDefinition3.xml"/><Relationship Id="rId66" Type="http://schemas.openxmlformats.org/officeDocument/2006/relationships/pivotCacheDefinition" Target="pivotCache/pivotCacheDefinition24.xml"/><Relationship Id="rId87" Type="http://schemas.microsoft.com/office/2011/relationships/timelineCache" Target="timelineCaches/timelineCache1.xml"/><Relationship Id="rId61" Type="http://schemas.openxmlformats.org/officeDocument/2006/relationships/pivotCacheDefinition" Target="pivotCache/pivotCacheDefinition19.xml"/><Relationship Id="rId82" Type="http://schemas.microsoft.com/office/2007/relationships/slicerCache" Target="slicerCaches/slicerCache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pivotCacheDefinition" Target="pivotCache/pivotCacheDefinition14.xml"/><Relationship Id="rId77" Type="http://schemas.openxmlformats.org/officeDocument/2006/relationships/pivotCacheDefinition" Target="pivotCache/pivotCacheDefinition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(1).xlsx]Line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chart'!$B$4:$B$16</c:f>
              <c:numCache>
                <c:formatCode>General</c:formatCode>
                <c:ptCount val="12"/>
                <c:pt idx="0">
                  <c:v>12630</c:v>
                </c:pt>
                <c:pt idx="1">
                  <c:v>32151</c:v>
                </c:pt>
                <c:pt idx="2">
                  <c:v>24273</c:v>
                </c:pt>
                <c:pt idx="3">
                  <c:v>36244</c:v>
                </c:pt>
                <c:pt idx="4">
                  <c:v>2180</c:v>
                </c:pt>
                <c:pt idx="5">
                  <c:v>3780</c:v>
                </c:pt>
                <c:pt idx="6">
                  <c:v>16470</c:v>
                </c:pt>
                <c:pt idx="7">
                  <c:v>18614</c:v>
                </c:pt>
                <c:pt idx="8">
                  <c:v>24674</c:v>
                </c:pt>
                <c:pt idx="9">
                  <c:v>2670</c:v>
                </c:pt>
                <c:pt idx="10">
                  <c:v>27740</c:v>
                </c:pt>
                <c:pt idx="11">
                  <c:v>20412</c:v>
                </c:pt>
              </c:numCache>
            </c:numRef>
          </c:val>
          <c:smooth val="0"/>
          <c:extLst>
            <c:ext xmlns:c16="http://schemas.microsoft.com/office/drawing/2014/chart" uri="{C3380CC4-5D6E-409C-BE32-E72D297353CC}">
              <c16:uniqueId val="{00000000-E343-415B-9A59-05F89BBFF18A}"/>
            </c:ext>
          </c:extLst>
        </c:ser>
        <c:dLbls>
          <c:showLegendKey val="0"/>
          <c:showVal val="0"/>
          <c:showCatName val="0"/>
          <c:showSerName val="0"/>
          <c:showPercent val="0"/>
          <c:showBubbleSize val="0"/>
        </c:dLbls>
        <c:smooth val="0"/>
        <c:axId val="843327696"/>
        <c:axId val="843322896"/>
      </c:lineChart>
      <c:catAx>
        <c:axId val="84332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22896"/>
        <c:crosses val="autoZero"/>
        <c:auto val="1"/>
        <c:lblAlgn val="ctr"/>
        <c:lblOffset val="100"/>
        <c:noMultiLvlLbl val="0"/>
      </c:catAx>
      <c:valAx>
        <c:axId val="84332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(1).xlsx]Bar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chart'!$A$4:$A$8</c:f>
              <c:strCache>
                <c:ptCount val="4"/>
                <c:pt idx="0">
                  <c:v>East</c:v>
                </c:pt>
                <c:pt idx="1">
                  <c:v>North</c:v>
                </c:pt>
                <c:pt idx="2">
                  <c:v>South</c:v>
                </c:pt>
                <c:pt idx="3">
                  <c:v>West</c:v>
                </c:pt>
              </c:strCache>
            </c:strRef>
          </c:cat>
          <c:val>
            <c:numRef>
              <c:f>'Bar chart'!$B$4:$B$8</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233D-44B6-A5B2-DF50B6A7F8B8}"/>
            </c:ext>
          </c:extLst>
        </c:ser>
        <c:dLbls>
          <c:showLegendKey val="0"/>
          <c:showVal val="0"/>
          <c:showCatName val="0"/>
          <c:showSerName val="0"/>
          <c:showPercent val="0"/>
          <c:showBubbleSize val="0"/>
        </c:dLbls>
        <c:gapWidth val="182"/>
        <c:axId val="566265520"/>
        <c:axId val="566254480"/>
      </c:barChart>
      <c:catAx>
        <c:axId val="5662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54480"/>
        <c:crosses val="autoZero"/>
        <c:auto val="1"/>
        <c:lblAlgn val="ctr"/>
        <c:lblOffset val="100"/>
        <c:noMultiLvlLbl val="0"/>
      </c:catAx>
      <c:valAx>
        <c:axId val="566254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6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(1).xlsx]Donut chart (Gender chart)!PivotTable13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chart (Gender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chart (Gender chart)'!$A$4:$A$6</c:f>
              <c:strCache>
                <c:ptCount val="2"/>
                <c:pt idx="0">
                  <c:v>Female</c:v>
                </c:pt>
                <c:pt idx="1">
                  <c:v>Male</c:v>
                </c:pt>
              </c:strCache>
            </c:strRef>
          </c:cat>
          <c:val>
            <c:numRef>
              <c:f>'Donut chart (Gender chart)'!$B$4:$B$6</c:f>
              <c:numCache>
                <c:formatCode>General</c:formatCode>
                <c:ptCount val="2"/>
                <c:pt idx="0">
                  <c:v>13</c:v>
                </c:pt>
                <c:pt idx="1">
                  <c:v>17</c:v>
                </c:pt>
              </c:numCache>
            </c:numRef>
          </c:val>
          <c:extLst>
            <c:ext xmlns:c16="http://schemas.microsoft.com/office/drawing/2014/chart" uri="{C3380CC4-5D6E-409C-BE32-E72D297353CC}">
              <c16:uniqueId val="{00000000-3910-4BA9-8ADC-2C0C8DC54C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(1).xlsx]Column chart-Attrition by dept!PivotTable14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chart-Attrition by dept'!$B$3</c:f>
              <c:strCache>
                <c:ptCount val="1"/>
                <c:pt idx="0">
                  <c:v>Total</c:v>
                </c:pt>
              </c:strCache>
            </c:strRef>
          </c:tx>
          <c:spPr>
            <a:solidFill>
              <a:schemeClr val="accent1"/>
            </a:solidFill>
            <a:ln>
              <a:noFill/>
            </a:ln>
            <a:effectLst/>
          </c:spPr>
          <c:invertIfNegative val="0"/>
          <c:cat>
            <c:strRef>
              <c:f>'Column chart-Attrition by dept'!$A$4:$A$9</c:f>
              <c:strCache>
                <c:ptCount val="5"/>
                <c:pt idx="0">
                  <c:v>Finance</c:v>
                </c:pt>
                <c:pt idx="1">
                  <c:v>HR</c:v>
                </c:pt>
                <c:pt idx="2">
                  <c:v>IT</c:v>
                </c:pt>
                <c:pt idx="3">
                  <c:v>Sales</c:v>
                </c:pt>
                <c:pt idx="4">
                  <c:v>Support</c:v>
                </c:pt>
              </c:strCache>
            </c:strRef>
          </c:cat>
          <c:val>
            <c:numRef>
              <c:f>'Column chart-Attrition by dept'!$B$4:$B$9</c:f>
              <c:numCache>
                <c:formatCode>General</c:formatCode>
                <c:ptCount val="5"/>
                <c:pt idx="0">
                  <c:v>8</c:v>
                </c:pt>
                <c:pt idx="1">
                  <c:v>2</c:v>
                </c:pt>
                <c:pt idx="2">
                  <c:v>2</c:v>
                </c:pt>
                <c:pt idx="3">
                  <c:v>4</c:v>
                </c:pt>
                <c:pt idx="4">
                  <c:v>4</c:v>
                </c:pt>
              </c:numCache>
            </c:numRef>
          </c:val>
          <c:extLst>
            <c:ext xmlns:c16="http://schemas.microsoft.com/office/drawing/2014/chart" uri="{C3380CC4-5D6E-409C-BE32-E72D297353CC}">
              <c16:uniqueId val="{00000000-E506-444C-AC6B-A155EC61E016}"/>
            </c:ext>
          </c:extLst>
        </c:ser>
        <c:dLbls>
          <c:showLegendKey val="0"/>
          <c:showVal val="0"/>
          <c:showCatName val="0"/>
          <c:showSerName val="0"/>
          <c:showPercent val="0"/>
          <c:showBubbleSize val="0"/>
        </c:dLbls>
        <c:gapWidth val="219"/>
        <c:overlap val="-27"/>
        <c:axId val="725778928"/>
        <c:axId val="725774128"/>
      </c:barChart>
      <c:catAx>
        <c:axId val="72577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774128"/>
        <c:crosses val="autoZero"/>
        <c:auto val="1"/>
        <c:lblAlgn val="ctr"/>
        <c:lblOffset val="100"/>
        <c:noMultiLvlLbl val="0"/>
      </c:catAx>
      <c:valAx>
        <c:axId val="7257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77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(1).xlsx]Line chart weekly!PivotTable21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weekly'!$B$3</c:f>
              <c:strCache>
                <c:ptCount val="1"/>
                <c:pt idx="0">
                  <c:v>Total</c:v>
                </c:pt>
              </c:strCache>
            </c:strRef>
          </c:tx>
          <c:spPr>
            <a:ln w="28575" cap="rnd">
              <a:solidFill>
                <a:schemeClr val="accent1"/>
              </a:solidFill>
              <a:round/>
            </a:ln>
            <a:effectLst/>
          </c:spPr>
          <c:marker>
            <c:symbol val="none"/>
          </c:marker>
          <c:cat>
            <c:strRef>
              <c:f>'Line chart weekly'!$A$4:$A$34</c:f>
              <c:strCache>
                <c:ptCount val="30"/>
                <c:pt idx="0">
                  <c:v>11-Jan</c:v>
                </c:pt>
                <c:pt idx="1">
                  <c:v>15-Jan</c:v>
                </c:pt>
                <c:pt idx="2">
                  <c:v>18-Jan</c:v>
                </c:pt>
                <c:pt idx="3">
                  <c:v>21-Jan</c:v>
                </c:pt>
                <c:pt idx="4">
                  <c:v>15-Feb</c:v>
                </c:pt>
                <c:pt idx="5">
                  <c:v>21-Feb</c:v>
                </c:pt>
                <c:pt idx="6">
                  <c:v>26-Feb</c:v>
                </c:pt>
                <c:pt idx="7">
                  <c:v>2-Mar</c:v>
                </c:pt>
                <c:pt idx="8">
                  <c:v>18-Mar</c:v>
                </c:pt>
                <c:pt idx="9">
                  <c:v>19-Mar</c:v>
                </c:pt>
                <c:pt idx="10">
                  <c:v>10-Apr</c:v>
                </c:pt>
                <c:pt idx="11">
                  <c:v>25-Apr</c:v>
                </c:pt>
                <c:pt idx="12">
                  <c:v>6-May</c:v>
                </c:pt>
                <c:pt idx="13">
                  <c:v>17-Jun</c:v>
                </c:pt>
                <c:pt idx="14">
                  <c:v>23-Jun</c:v>
                </c:pt>
                <c:pt idx="15">
                  <c:v>16-Jul</c:v>
                </c:pt>
                <c:pt idx="16">
                  <c:v>9-Aug</c:v>
                </c:pt>
                <c:pt idx="17">
                  <c:v>15-Aug</c:v>
                </c:pt>
                <c:pt idx="18">
                  <c:v>17-Aug</c:v>
                </c:pt>
                <c:pt idx="19">
                  <c:v>28-Aug</c:v>
                </c:pt>
                <c:pt idx="20">
                  <c:v>20-Sep</c:v>
                </c:pt>
                <c:pt idx="21">
                  <c:v>22-Sep</c:v>
                </c:pt>
                <c:pt idx="22">
                  <c:v>15-Oct</c:v>
                </c:pt>
                <c:pt idx="23">
                  <c:v>25-Oct</c:v>
                </c:pt>
                <c:pt idx="24">
                  <c:v>31-Oct</c:v>
                </c:pt>
                <c:pt idx="25">
                  <c:v>17-Nov</c:v>
                </c:pt>
                <c:pt idx="26">
                  <c:v>1-Dec</c:v>
                </c:pt>
                <c:pt idx="27">
                  <c:v>9-Dec</c:v>
                </c:pt>
                <c:pt idx="28">
                  <c:v>18-Dec</c:v>
                </c:pt>
                <c:pt idx="29">
                  <c:v>26-Dec</c:v>
                </c:pt>
              </c:strCache>
            </c:strRef>
          </c:cat>
          <c:val>
            <c:numRef>
              <c:f>'Line chart weekly'!$B$4:$B$34</c:f>
              <c:numCache>
                <c:formatCode>General</c:formatCode>
                <c:ptCount val="30"/>
                <c:pt idx="0">
                  <c:v>61</c:v>
                </c:pt>
                <c:pt idx="1">
                  <c:v>72</c:v>
                </c:pt>
                <c:pt idx="2">
                  <c:v>29</c:v>
                </c:pt>
                <c:pt idx="3">
                  <c:v>63</c:v>
                </c:pt>
                <c:pt idx="4">
                  <c:v>33</c:v>
                </c:pt>
                <c:pt idx="5">
                  <c:v>10</c:v>
                </c:pt>
                <c:pt idx="6">
                  <c:v>79</c:v>
                </c:pt>
                <c:pt idx="7">
                  <c:v>68</c:v>
                </c:pt>
                <c:pt idx="8">
                  <c:v>22</c:v>
                </c:pt>
                <c:pt idx="9">
                  <c:v>56</c:v>
                </c:pt>
                <c:pt idx="10">
                  <c:v>66</c:v>
                </c:pt>
                <c:pt idx="11">
                  <c:v>55</c:v>
                </c:pt>
                <c:pt idx="12">
                  <c:v>46</c:v>
                </c:pt>
                <c:pt idx="13">
                  <c:v>15</c:v>
                </c:pt>
                <c:pt idx="14">
                  <c:v>56</c:v>
                </c:pt>
                <c:pt idx="15">
                  <c:v>70</c:v>
                </c:pt>
                <c:pt idx="16">
                  <c:v>49</c:v>
                </c:pt>
                <c:pt idx="17">
                  <c:v>32</c:v>
                </c:pt>
                <c:pt idx="18">
                  <c:v>80</c:v>
                </c:pt>
                <c:pt idx="19">
                  <c:v>40</c:v>
                </c:pt>
                <c:pt idx="20">
                  <c:v>54</c:v>
                </c:pt>
                <c:pt idx="21">
                  <c:v>64</c:v>
                </c:pt>
                <c:pt idx="22">
                  <c:v>75</c:v>
                </c:pt>
                <c:pt idx="23">
                  <c:v>46</c:v>
                </c:pt>
                <c:pt idx="24">
                  <c:v>36</c:v>
                </c:pt>
                <c:pt idx="25">
                  <c:v>20</c:v>
                </c:pt>
                <c:pt idx="26">
                  <c:v>68</c:v>
                </c:pt>
                <c:pt idx="27">
                  <c:v>67</c:v>
                </c:pt>
                <c:pt idx="28">
                  <c:v>44</c:v>
                </c:pt>
                <c:pt idx="29">
                  <c:v>68</c:v>
                </c:pt>
              </c:numCache>
            </c:numRef>
          </c:val>
          <c:smooth val="0"/>
          <c:extLst>
            <c:ext xmlns:c16="http://schemas.microsoft.com/office/drawing/2014/chart" uri="{C3380CC4-5D6E-409C-BE32-E72D297353CC}">
              <c16:uniqueId val="{00000000-1D9A-4BAC-992C-D24390642276}"/>
            </c:ext>
          </c:extLst>
        </c:ser>
        <c:dLbls>
          <c:showLegendKey val="0"/>
          <c:showVal val="0"/>
          <c:showCatName val="0"/>
          <c:showSerName val="0"/>
          <c:showPercent val="0"/>
          <c:showBubbleSize val="0"/>
        </c:dLbls>
        <c:smooth val="0"/>
        <c:axId val="211105632"/>
        <c:axId val="211115232"/>
      </c:lineChart>
      <c:catAx>
        <c:axId val="21110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5232"/>
        <c:crosses val="autoZero"/>
        <c:auto val="1"/>
        <c:lblAlgn val="ctr"/>
        <c:lblOffset val="100"/>
        <c:noMultiLvlLbl val="0"/>
      </c:catAx>
      <c:valAx>
        <c:axId val="21111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0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(1).xlsx]Bar chart  Actual vs Budget!PivotTable27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  Actual vs Budget'!$B$3</c:f>
              <c:strCache>
                <c:ptCount val="1"/>
                <c:pt idx="0">
                  <c:v>Sum of Budget</c:v>
                </c:pt>
              </c:strCache>
            </c:strRef>
          </c:tx>
          <c:spPr>
            <a:solidFill>
              <a:schemeClr val="accent1"/>
            </a:solidFill>
            <a:ln>
              <a:noFill/>
            </a:ln>
            <a:effectLst/>
          </c:spPr>
          <c:invertIfNegative val="0"/>
          <c:cat>
            <c:strRef>
              <c:f>'Bar chart  Actual vs Budget'!$A$4:$A$8</c:f>
              <c:strCache>
                <c:ptCount val="4"/>
                <c:pt idx="0">
                  <c:v>Consulting</c:v>
                </c:pt>
                <c:pt idx="1">
                  <c:v>Software</c:v>
                </c:pt>
                <c:pt idx="2">
                  <c:v>Supplies</c:v>
                </c:pt>
                <c:pt idx="3">
                  <c:v>Travel</c:v>
                </c:pt>
              </c:strCache>
            </c:strRef>
          </c:cat>
          <c:val>
            <c:numRef>
              <c:f>'Bar chart  Actual vs Budget'!$B$4:$B$8</c:f>
              <c:numCache>
                <c:formatCode>General</c:formatCode>
                <c:ptCount val="4"/>
                <c:pt idx="0">
                  <c:v>40685</c:v>
                </c:pt>
                <c:pt idx="1">
                  <c:v>55463</c:v>
                </c:pt>
                <c:pt idx="2">
                  <c:v>78735</c:v>
                </c:pt>
                <c:pt idx="3">
                  <c:v>116254</c:v>
                </c:pt>
              </c:numCache>
            </c:numRef>
          </c:val>
          <c:extLst>
            <c:ext xmlns:c16="http://schemas.microsoft.com/office/drawing/2014/chart" uri="{C3380CC4-5D6E-409C-BE32-E72D297353CC}">
              <c16:uniqueId val="{00000000-C4F4-4208-92FA-AC75E31DA11F}"/>
            </c:ext>
          </c:extLst>
        </c:ser>
        <c:ser>
          <c:idx val="1"/>
          <c:order val="1"/>
          <c:tx>
            <c:strRef>
              <c:f>'Bar chart  Actual vs Budget'!$C$3</c:f>
              <c:strCache>
                <c:ptCount val="1"/>
                <c:pt idx="0">
                  <c:v>Sum of Expense Amount</c:v>
                </c:pt>
              </c:strCache>
            </c:strRef>
          </c:tx>
          <c:spPr>
            <a:solidFill>
              <a:schemeClr val="accent2"/>
            </a:solidFill>
            <a:ln>
              <a:noFill/>
            </a:ln>
            <a:effectLst/>
          </c:spPr>
          <c:invertIfNegative val="0"/>
          <c:cat>
            <c:strRef>
              <c:f>'Bar chart  Actual vs Budget'!$A$4:$A$8</c:f>
              <c:strCache>
                <c:ptCount val="4"/>
                <c:pt idx="0">
                  <c:v>Consulting</c:v>
                </c:pt>
                <c:pt idx="1">
                  <c:v>Software</c:v>
                </c:pt>
                <c:pt idx="2">
                  <c:v>Supplies</c:v>
                </c:pt>
                <c:pt idx="3">
                  <c:v>Travel</c:v>
                </c:pt>
              </c:strCache>
            </c:strRef>
          </c:cat>
          <c:val>
            <c:numRef>
              <c:f>'Bar chart  Actual vs Budget'!$C$4:$C$8</c:f>
              <c:numCache>
                <c:formatCode>General</c:formatCode>
                <c:ptCount val="4"/>
                <c:pt idx="0">
                  <c:v>25329</c:v>
                </c:pt>
                <c:pt idx="1">
                  <c:v>27706</c:v>
                </c:pt>
                <c:pt idx="2">
                  <c:v>43952</c:v>
                </c:pt>
                <c:pt idx="3">
                  <c:v>57874</c:v>
                </c:pt>
              </c:numCache>
            </c:numRef>
          </c:val>
          <c:extLst>
            <c:ext xmlns:c16="http://schemas.microsoft.com/office/drawing/2014/chart" uri="{C3380CC4-5D6E-409C-BE32-E72D297353CC}">
              <c16:uniqueId val="{00000001-C4F4-4208-92FA-AC75E31DA11F}"/>
            </c:ext>
          </c:extLst>
        </c:ser>
        <c:dLbls>
          <c:showLegendKey val="0"/>
          <c:showVal val="0"/>
          <c:showCatName val="0"/>
          <c:showSerName val="0"/>
          <c:showPercent val="0"/>
          <c:showBubbleSize val="0"/>
        </c:dLbls>
        <c:gapWidth val="182"/>
        <c:axId val="817853504"/>
        <c:axId val="817863584"/>
      </c:barChart>
      <c:catAx>
        <c:axId val="81785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63584"/>
        <c:crosses val="autoZero"/>
        <c:auto val="1"/>
        <c:lblAlgn val="ctr"/>
        <c:lblOffset val="100"/>
        <c:noMultiLvlLbl val="0"/>
      </c:catAx>
      <c:valAx>
        <c:axId val="81786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5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(1).xlsx]Line chart-Month order &amp; revenu!PivotTable34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chart-Month order &amp; revenu'!$B$3</c:f>
              <c:strCache>
                <c:ptCount val="1"/>
                <c:pt idx="0">
                  <c:v>Count of Order ID</c:v>
                </c:pt>
              </c:strCache>
            </c:strRef>
          </c:tx>
          <c:spPr>
            <a:ln w="28575" cap="rnd">
              <a:solidFill>
                <a:schemeClr val="accent1"/>
              </a:solidFill>
              <a:round/>
            </a:ln>
            <a:effectLst/>
          </c:spPr>
          <c:marker>
            <c:symbol val="none"/>
          </c:marker>
          <c:cat>
            <c:strRef>
              <c:f>'Line chart-Month order &amp; revenu'!$A$4:$A$14</c:f>
              <c:strCache>
                <c:ptCount val="10"/>
                <c:pt idx="0">
                  <c:v>Feb</c:v>
                </c:pt>
                <c:pt idx="1">
                  <c:v>Mar</c:v>
                </c:pt>
                <c:pt idx="2">
                  <c:v>Apr</c:v>
                </c:pt>
                <c:pt idx="3">
                  <c:v>May</c:v>
                </c:pt>
                <c:pt idx="4">
                  <c:v>Jun</c:v>
                </c:pt>
                <c:pt idx="5">
                  <c:v>Jul</c:v>
                </c:pt>
                <c:pt idx="6">
                  <c:v>Aug</c:v>
                </c:pt>
                <c:pt idx="7">
                  <c:v>Sep</c:v>
                </c:pt>
                <c:pt idx="8">
                  <c:v>Oct</c:v>
                </c:pt>
                <c:pt idx="9">
                  <c:v>Nov</c:v>
                </c:pt>
              </c:strCache>
            </c:strRef>
          </c:cat>
          <c:val>
            <c:numRef>
              <c:f>'Line chart-Month order &amp; revenu'!$B$4:$B$14</c:f>
              <c:numCache>
                <c:formatCode>General</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0-6F73-497F-893D-DA6865A69E1F}"/>
            </c:ext>
          </c:extLst>
        </c:ser>
        <c:ser>
          <c:idx val="1"/>
          <c:order val="1"/>
          <c:tx>
            <c:strRef>
              <c:f>'Line chart-Month order &amp; revenu'!$C$3</c:f>
              <c:strCache>
                <c:ptCount val="1"/>
                <c:pt idx="0">
                  <c:v>Sum of Order Value</c:v>
                </c:pt>
              </c:strCache>
            </c:strRef>
          </c:tx>
          <c:spPr>
            <a:ln w="28575" cap="rnd">
              <a:solidFill>
                <a:schemeClr val="accent2"/>
              </a:solidFill>
              <a:round/>
            </a:ln>
            <a:effectLst/>
          </c:spPr>
          <c:marker>
            <c:symbol val="none"/>
          </c:marker>
          <c:cat>
            <c:strRef>
              <c:f>'Line chart-Month order &amp; revenu'!$A$4:$A$14</c:f>
              <c:strCache>
                <c:ptCount val="10"/>
                <c:pt idx="0">
                  <c:v>Feb</c:v>
                </c:pt>
                <c:pt idx="1">
                  <c:v>Mar</c:v>
                </c:pt>
                <c:pt idx="2">
                  <c:v>Apr</c:v>
                </c:pt>
                <c:pt idx="3">
                  <c:v>May</c:v>
                </c:pt>
                <c:pt idx="4">
                  <c:v>Jun</c:v>
                </c:pt>
                <c:pt idx="5">
                  <c:v>Jul</c:v>
                </c:pt>
                <c:pt idx="6">
                  <c:v>Aug</c:v>
                </c:pt>
                <c:pt idx="7">
                  <c:v>Sep</c:v>
                </c:pt>
                <c:pt idx="8">
                  <c:v>Oct</c:v>
                </c:pt>
                <c:pt idx="9">
                  <c:v>Nov</c:v>
                </c:pt>
              </c:strCache>
            </c:strRef>
          </c:cat>
          <c:val>
            <c:numRef>
              <c:f>'Line chart-Month order &amp; revenu'!$C$4:$C$14</c:f>
              <c:numCache>
                <c:formatCode>General</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1-6F73-497F-893D-DA6865A69E1F}"/>
            </c:ext>
          </c:extLst>
        </c:ser>
        <c:dLbls>
          <c:showLegendKey val="0"/>
          <c:showVal val="0"/>
          <c:showCatName val="0"/>
          <c:showSerName val="0"/>
          <c:showPercent val="0"/>
          <c:showBubbleSize val="0"/>
        </c:dLbls>
        <c:smooth val="0"/>
        <c:axId val="725770768"/>
        <c:axId val="725759248"/>
      </c:lineChart>
      <c:catAx>
        <c:axId val="72577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759248"/>
        <c:crosses val="autoZero"/>
        <c:auto val="1"/>
        <c:lblAlgn val="ctr"/>
        <c:lblOffset val="100"/>
        <c:noMultiLvlLbl val="0"/>
      </c:catAx>
      <c:valAx>
        <c:axId val="72575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77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 (1).xlsx]Bar chart-Orders by customer!PivotTable33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chart-Orders by customer'!$B$3</c:f>
              <c:strCache>
                <c:ptCount val="1"/>
                <c:pt idx="0">
                  <c:v>Total</c:v>
                </c:pt>
              </c:strCache>
            </c:strRef>
          </c:tx>
          <c:spPr>
            <a:solidFill>
              <a:schemeClr val="accent1"/>
            </a:solidFill>
            <a:ln>
              <a:noFill/>
            </a:ln>
            <a:effectLst/>
            <a:sp3d/>
          </c:spPr>
          <c:invertIfNegative val="0"/>
          <c:cat>
            <c:strRef>
              <c:f>'Bar chart-Orders by customer'!$A$4:$A$8</c:f>
              <c:strCache>
                <c:ptCount val="4"/>
                <c:pt idx="0">
                  <c:v>Flipkart</c:v>
                </c:pt>
                <c:pt idx="1">
                  <c:v>HUL</c:v>
                </c:pt>
                <c:pt idx="2">
                  <c:v>Reliance</c:v>
                </c:pt>
                <c:pt idx="3">
                  <c:v>Tata</c:v>
                </c:pt>
              </c:strCache>
            </c:strRef>
          </c:cat>
          <c:val>
            <c:numRef>
              <c:f>'Bar chart-Orders by customer'!$B$4:$B$8</c:f>
              <c:numCache>
                <c:formatCode>General</c:formatCode>
                <c:ptCount val="4"/>
                <c:pt idx="0">
                  <c:v>3</c:v>
                </c:pt>
                <c:pt idx="1">
                  <c:v>6</c:v>
                </c:pt>
                <c:pt idx="2">
                  <c:v>1</c:v>
                </c:pt>
                <c:pt idx="3">
                  <c:v>3</c:v>
                </c:pt>
              </c:numCache>
            </c:numRef>
          </c:val>
          <c:extLst>
            <c:ext xmlns:c16="http://schemas.microsoft.com/office/drawing/2014/chart" uri="{C3380CC4-5D6E-409C-BE32-E72D297353CC}">
              <c16:uniqueId val="{00000000-E61F-414D-B943-9CFEE3A2F1AB}"/>
            </c:ext>
          </c:extLst>
        </c:ser>
        <c:dLbls>
          <c:showLegendKey val="0"/>
          <c:showVal val="0"/>
          <c:showCatName val="0"/>
          <c:showSerName val="0"/>
          <c:showPercent val="0"/>
          <c:showBubbleSize val="0"/>
        </c:dLbls>
        <c:gapWidth val="150"/>
        <c:shape val="box"/>
        <c:axId val="779476976"/>
        <c:axId val="779492336"/>
        <c:axId val="0"/>
      </c:bar3DChart>
      <c:catAx>
        <c:axId val="7794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92336"/>
        <c:crosses val="autoZero"/>
        <c:auto val="1"/>
        <c:lblAlgn val="ctr"/>
        <c:lblOffset val="100"/>
        <c:noMultiLvlLbl val="0"/>
      </c:catAx>
      <c:valAx>
        <c:axId val="77949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7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6350</xdr:colOff>
      <xdr:row>1</xdr:row>
      <xdr:rowOff>0</xdr:rowOff>
    </xdr:from>
    <xdr:to>
      <xdr:col>7</xdr:col>
      <xdr:colOff>311150</xdr:colOff>
      <xdr:row>15</xdr:row>
      <xdr:rowOff>165100</xdr:rowOff>
    </xdr:to>
    <xdr:graphicFrame macro="">
      <xdr:nvGraphicFramePr>
        <xdr:cNvPr id="2" name="Chart 1">
          <a:extLst>
            <a:ext uri="{FF2B5EF4-FFF2-40B4-BE49-F238E27FC236}">
              <a16:creationId xmlns:a16="http://schemas.microsoft.com/office/drawing/2014/main" id="{2ECDEA57-2472-BFE9-B30C-612A211CD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600075</xdr:colOff>
      <xdr:row>1</xdr:row>
      <xdr:rowOff>12700</xdr:rowOff>
    </xdr:from>
    <xdr:to>
      <xdr:col>11</xdr:col>
      <xdr:colOff>295275</xdr:colOff>
      <xdr:row>15</xdr:row>
      <xdr:rowOff>177800</xdr:rowOff>
    </xdr:to>
    <xdr:graphicFrame macro="">
      <xdr:nvGraphicFramePr>
        <xdr:cNvPr id="2" name="Chart 1">
          <a:extLst>
            <a:ext uri="{FF2B5EF4-FFF2-40B4-BE49-F238E27FC236}">
              <a16:creationId xmlns:a16="http://schemas.microsoft.com/office/drawing/2014/main" id="{68FF833A-546F-B99F-A35F-689154C1D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596900</xdr:colOff>
      <xdr:row>2</xdr:row>
      <xdr:rowOff>12701</xdr:rowOff>
    </xdr:from>
    <xdr:to>
      <xdr:col>6</xdr:col>
      <xdr:colOff>596900</xdr:colOff>
      <xdr:row>10</xdr:row>
      <xdr:rowOff>31750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696841D-0FF7-CB0B-F8B2-A1D8AD2659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73400" y="381001"/>
              <a:ext cx="1828800" cy="1492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xdr:row>
      <xdr:rowOff>139700</xdr:rowOff>
    </xdr:from>
    <xdr:to>
      <xdr:col>11</xdr:col>
      <xdr:colOff>19050</xdr:colOff>
      <xdr:row>11</xdr:row>
      <xdr:rowOff>38099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855CD67E-C58E-A7D2-68F6-C6B6BB2B99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543550" y="323850"/>
              <a:ext cx="1828800" cy="1739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1</xdr:row>
      <xdr:rowOff>6350</xdr:rowOff>
    </xdr:from>
    <xdr:to>
      <xdr:col>10</xdr:col>
      <xdr:colOff>330200</xdr:colOff>
      <xdr:row>15</xdr:row>
      <xdr:rowOff>171450</xdr:rowOff>
    </xdr:to>
    <xdr:graphicFrame macro="">
      <xdr:nvGraphicFramePr>
        <xdr:cNvPr id="2" name="Chart 1">
          <a:extLst>
            <a:ext uri="{FF2B5EF4-FFF2-40B4-BE49-F238E27FC236}">
              <a16:creationId xmlns:a16="http://schemas.microsoft.com/office/drawing/2014/main" id="{540487BE-A7B0-C9CC-519B-7D2962A98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0</xdr:row>
      <xdr:rowOff>152400</xdr:rowOff>
    </xdr:from>
    <xdr:to>
      <xdr:col>10</xdr:col>
      <xdr:colOff>317500</xdr:colOff>
      <xdr:row>15</xdr:row>
      <xdr:rowOff>133350</xdr:rowOff>
    </xdr:to>
    <xdr:graphicFrame macro="">
      <xdr:nvGraphicFramePr>
        <xdr:cNvPr id="2" name="Chart 1">
          <a:extLst>
            <a:ext uri="{FF2B5EF4-FFF2-40B4-BE49-F238E27FC236}">
              <a16:creationId xmlns:a16="http://schemas.microsoft.com/office/drawing/2014/main" id="{0561E2F5-87C0-F9F1-40DE-8C78DE74B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565150</xdr:colOff>
      <xdr:row>0</xdr:row>
      <xdr:rowOff>146050</xdr:rowOff>
    </xdr:from>
    <xdr:to>
      <xdr:col>6</xdr:col>
      <xdr:colOff>57150</xdr:colOff>
      <xdr:row>4</xdr:row>
      <xdr:rowOff>31750</xdr:rowOff>
    </xdr:to>
    <xdr:sp macro="" textlink="">
      <xdr:nvSpPr>
        <xdr:cNvPr id="2" name="Rectangle 1">
          <a:extLst>
            <a:ext uri="{FF2B5EF4-FFF2-40B4-BE49-F238E27FC236}">
              <a16:creationId xmlns:a16="http://schemas.microsoft.com/office/drawing/2014/main" id="{16F72966-E06F-9F0F-1DBD-898CC2EE4EA6}"/>
            </a:ext>
          </a:extLst>
        </xdr:cNvPr>
        <xdr:cNvSpPr/>
      </xdr:nvSpPr>
      <xdr:spPr>
        <a:xfrm>
          <a:off x="3003550" y="146050"/>
          <a:ext cx="1060450" cy="8064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kern="1200"/>
            <a:t> </a:t>
          </a:r>
          <a:r>
            <a:rPr lang="en-US" sz="1400" b="1" kern="1200"/>
            <a:t>Headcount</a:t>
          </a:r>
          <a:r>
            <a:rPr lang="en-US" sz="1400" b="1" kern="1200" baseline="0"/>
            <a:t>  </a:t>
          </a:r>
        </a:p>
        <a:p>
          <a:pPr algn="l"/>
          <a:r>
            <a:rPr lang="en-US" sz="1400" b="1" kern="1200" baseline="0"/>
            <a:t>       30</a:t>
          </a:r>
        </a:p>
        <a:p>
          <a:pPr algn="l"/>
          <a:endParaRPr lang="en-US" sz="1100" kern="1200"/>
        </a:p>
      </xdr:txBody>
    </xdr:sp>
    <xdr:clientData/>
  </xdr:twoCellAnchor>
  <xdr:twoCellAnchor>
    <xdr:from>
      <xdr:col>6</xdr:col>
      <xdr:colOff>317500</xdr:colOff>
      <xdr:row>0</xdr:row>
      <xdr:rowOff>158750</xdr:rowOff>
    </xdr:from>
    <xdr:to>
      <xdr:col>8</xdr:col>
      <xdr:colOff>171450</xdr:colOff>
      <xdr:row>4</xdr:row>
      <xdr:rowOff>38100</xdr:rowOff>
    </xdr:to>
    <xdr:sp macro="" textlink="">
      <xdr:nvSpPr>
        <xdr:cNvPr id="3" name="Rectangle 2">
          <a:extLst>
            <a:ext uri="{FF2B5EF4-FFF2-40B4-BE49-F238E27FC236}">
              <a16:creationId xmlns:a16="http://schemas.microsoft.com/office/drawing/2014/main" id="{57CB3A84-5ADA-5177-C935-363A1277F56B}"/>
            </a:ext>
          </a:extLst>
        </xdr:cNvPr>
        <xdr:cNvSpPr/>
      </xdr:nvSpPr>
      <xdr:spPr>
        <a:xfrm>
          <a:off x="4324350" y="158750"/>
          <a:ext cx="1073150" cy="800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kern="1200"/>
            <a:t>   Average </a:t>
          </a:r>
        </a:p>
        <a:p>
          <a:pPr algn="l"/>
          <a:r>
            <a:rPr lang="en-US" sz="1400" b="1" kern="1200"/>
            <a:t>     Age          </a:t>
          </a:r>
          <a:r>
            <a:rPr lang="en-US" sz="1400" b="1" kern="1200" baseline="0"/>
            <a:t> </a:t>
          </a:r>
        </a:p>
        <a:p>
          <a:pPr algn="l"/>
          <a:r>
            <a:rPr lang="en-US" sz="1400" b="1" kern="1200" baseline="0"/>
            <a:t>      36</a:t>
          </a:r>
          <a:r>
            <a:rPr lang="en-US" sz="1200" b="1" kern="1200" baseline="0"/>
            <a:t>	</a:t>
          </a:r>
          <a:endParaRPr lang="en-US" sz="1200" b="1" kern="1200"/>
        </a:p>
      </xdr:txBody>
    </xdr:sp>
    <xdr:clientData/>
  </xdr:twoCellAnchor>
  <xdr:twoCellAnchor>
    <xdr:from>
      <xdr:col>8</xdr:col>
      <xdr:colOff>381000</xdr:colOff>
      <xdr:row>0</xdr:row>
      <xdr:rowOff>165100</xdr:rowOff>
    </xdr:from>
    <xdr:to>
      <xdr:col>10</xdr:col>
      <xdr:colOff>241300</xdr:colOff>
      <xdr:row>4</xdr:row>
      <xdr:rowOff>0</xdr:rowOff>
    </xdr:to>
    <xdr:sp macro="" textlink="">
      <xdr:nvSpPr>
        <xdr:cNvPr id="4" name="Rectangle 3">
          <a:extLst>
            <a:ext uri="{FF2B5EF4-FFF2-40B4-BE49-F238E27FC236}">
              <a16:creationId xmlns:a16="http://schemas.microsoft.com/office/drawing/2014/main" id="{D54BB09F-DF04-1CD1-1C71-FEF8DE2E5435}"/>
            </a:ext>
          </a:extLst>
        </xdr:cNvPr>
        <xdr:cNvSpPr/>
      </xdr:nvSpPr>
      <xdr:spPr>
        <a:xfrm>
          <a:off x="5607050" y="165100"/>
          <a:ext cx="1079500" cy="755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kern="1200"/>
            <a:t>  Average</a:t>
          </a:r>
          <a:r>
            <a:rPr lang="en-US" sz="1400" b="1" kern="1200" baseline="0"/>
            <a:t>    </a:t>
          </a:r>
        </a:p>
        <a:p>
          <a:pPr algn="l"/>
          <a:r>
            <a:rPr lang="en-US" sz="1400" b="1" kern="1200" baseline="0"/>
            <a:t>  Salary</a:t>
          </a:r>
        </a:p>
        <a:p>
          <a:pPr algn="l"/>
          <a:r>
            <a:rPr lang="en-US" sz="1400" b="1" kern="1200" baseline="0"/>
            <a:t>  66992</a:t>
          </a:r>
          <a:endParaRPr lang="en-US" sz="1400" b="1" kern="12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19050</xdr:colOff>
      <xdr:row>1</xdr:row>
      <xdr:rowOff>165100</xdr:rowOff>
    </xdr:from>
    <xdr:to>
      <xdr:col>9</xdr:col>
      <xdr:colOff>304800</xdr:colOff>
      <xdr:row>9</xdr:row>
      <xdr:rowOff>63500</xdr:rowOff>
    </xdr:to>
    <mc:AlternateContent xmlns:mc="http://schemas.openxmlformats.org/markup-compatibility/2006">
      <mc:Choice xmlns:tsle="http://schemas.microsoft.com/office/drawing/2012/timeslicer" Requires="tsle">
        <xdr:graphicFrame macro="">
          <xdr:nvGraphicFramePr>
            <xdr:cNvPr id="2" name="Join Date">
              <a:extLst>
                <a:ext uri="{FF2B5EF4-FFF2-40B4-BE49-F238E27FC236}">
                  <a16:creationId xmlns:a16="http://schemas.microsoft.com/office/drawing/2014/main" id="{DC0D6C7D-6AE0-6F49-DF64-D82F212A5380}"/>
                </a:ext>
              </a:extLst>
            </xdr:cNvPr>
            <xdr:cNvGraphicFramePr/>
          </xdr:nvGraphicFramePr>
          <xdr:xfrm>
            <a:off x="0" y="0"/>
            <a:ext cx="0" cy="0"/>
          </xdr:xfrm>
          <a:graphic>
            <a:graphicData uri="http://schemas.microsoft.com/office/drawing/2012/timeslicer">
              <tsle:timeslicer xmlns:tsle="http://schemas.microsoft.com/office/drawing/2012/timeslicer" name="Join Date"/>
            </a:graphicData>
          </a:graphic>
        </xdr:graphicFrame>
      </mc:Choice>
      <mc:Fallback>
        <xdr:sp macro="" textlink="">
          <xdr:nvSpPr>
            <xdr:cNvPr id="0" name=""/>
            <xdr:cNvSpPr>
              <a:spLocks noTextEdit="1"/>
            </xdr:cNvSpPr>
          </xdr:nvSpPr>
          <xdr:spPr>
            <a:xfrm>
              <a:off x="3441700" y="3492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12700</xdr:rowOff>
    </xdr:from>
    <xdr:to>
      <xdr:col>9</xdr:col>
      <xdr:colOff>190500</xdr:colOff>
      <xdr:row>16</xdr:row>
      <xdr:rowOff>177800</xdr:rowOff>
    </xdr:to>
    <xdr:graphicFrame macro="">
      <xdr:nvGraphicFramePr>
        <xdr:cNvPr id="2" name="Chart 1">
          <a:extLst>
            <a:ext uri="{FF2B5EF4-FFF2-40B4-BE49-F238E27FC236}">
              <a16:creationId xmlns:a16="http://schemas.microsoft.com/office/drawing/2014/main" id="{E34B2E05-42B7-AD1D-3162-C187856B0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590550</xdr:colOff>
      <xdr:row>1</xdr:row>
      <xdr:rowOff>6351</xdr:rowOff>
    </xdr:from>
    <xdr:to>
      <xdr:col>7</xdr:col>
      <xdr:colOff>590550</xdr:colOff>
      <xdr:row>8</xdr:row>
      <xdr:rowOff>31751</xdr:rowOff>
    </xdr:to>
    <mc:AlternateContent xmlns:mc="http://schemas.openxmlformats.org/markup-compatibility/2006">
      <mc:Choice xmlns:a14="http://schemas.microsoft.com/office/drawing/2010/main" Requires="a14">
        <xdr:graphicFrame macro="">
          <xdr:nvGraphicFramePr>
            <xdr:cNvPr id="2" name="Warehouse">
              <a:extLst>
                <a:ext uri="{FF2B5EF4-FFF2-40B4-BE49-F238E27FC236}">
                  <a16:creationId xmlns:a16="http://schemas.microsoft.com/office/drawing/2014/main" id="{F1FDEBB7-9907-9C1C-6B0C-F85936DC58E6}"/>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3943350" y="190501"/>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12700</xdr:colOff>
      <xdr:row>1</xdr:row>
      <xdr:rowOff>0</xdr:rowOff>
    </xdr:from>
    <xdr:to>
      <xdr:col>8</xdr:col>
      <xdr:colOff>317500</xdr:colOff>
      <xdr:row>15</xdr:row>
      <xdr:rowOff>165100</xdr:rowOff>
    </xdr:to>
    <xdr:graphicFrame macro="">
      <xdr:nvGraphicFramePr>
        <xdr:cNvPr id="2" name="Chart 1">
          <a:extLst>
            <a:ext uri="{FF2B5EF4-FFF2-40B4-BE49-F238E27FC236}">
              <a16:creationId xmlns:a16="http://schemas.microsoft.com/office/drawing/2014/main" id="{D89AEAD3-A82C-B8DB-54D0-73C16947B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19050</xdr:colOff>
      <xdr:row>1</xdr:row>
      <xdr:rowOff>146050</xdr:rowOff>
    </xdr:from>
    <xdr:to>
      <xdr:col>8</xdr:col>
      <xdr:colOff>304800</xdr:colOff>
      <xdr:row>9</xdr:row>
      <xdr:rowOff>44450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C3153A50-77DB-DC90-2A21-BE7B0B0B9E0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97200" y="330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565150</xdr:colOff>
      <xdr:row>0</xdr:row>
      <xdr:rowOff>146050</xdr:rowOff>
    </xdr:from>
    <xdr:to>
      <xdr:col>6</xdr:col>
      <xdr:colOff>57150</xdr:colOff>
      <xdr:row>4</xdr:row>
      <xdr:rowOff>31750</xdr:rowOff>
    </xdr:to>
    <xdr:sp macro="" textlink="">
      <xdr:nvSpPr>
        <xdr:cNvPr id="2" name="Rectangle 1">
          <a:extLst>
            <a:ext uri="{FF2B5EF4-FFF2-40B4-BE49-F238E27FC236}">
              <a16:creationId xmlns:a16="http://schemas.microsoft.com/office/drawing/2014/main" id="{5DB4130F-EAD5-431D-A528-B06C75E1D105}"/>
            </a:ext>
          </a:extLst>
        </xdr:cNvPr>
        <xdr:cNvSpPr/>
      </xdr:nvSpPr>
      <xdr:spPr>
        <a:xfrm>
          <a:off x="3003550" y="146050"/>
          <a:ext cx="1060450" cy="8064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kern="1200" baseline="0"/>
            <a:t>Total Budget         </a:t>
          </a:r>
          <a:r>
            <a:rPr lang="en-US" sz="1400" b="1" i="0" u="none" strike="noStrike">
              <a:solidFill>
                <a:schemeClr val="dk1"/>
              </a:solidFill>
              <a:effectLst/>
              <a:latin typeface="+mn-lt"/>
              <a:ea typeface="+mn-ea"/>
              <a:cs typeface="+mn-cs"/>
            </a:rPr>
            <a:t>2,91,137</a:t>
          </a:r>
          <a:endParaRPr lang="en-US" sz="1400" b="1" kern="1200" baseline="0"/>
        </a:p>
        <a:p>
          <a:pPr algn="l"/>
          <a:endParaRPr lang="en-US" sz="1100" kern="1200"/>
        </a:p>
      </xdr:txBody>
    </xdr:sp>
    <xdr:clientData/>
  </xdr:twoCellAnchor>
  <xdr:twoCellAnchor>
    <xdr:from>
      <xdr:col>6</xdr:col>
      <xdr:colOff>317500</xdr:colOff>
      <xdr:row>0</xdr:row>
      <xdr:rowOff>158750</xdr:rowOff>
    </xdr:from>
    <xdr:to>
      <xdr:col>8</xdr:col>
      <xdr:colOff>171450</xdr:colOff>
      <xdr:row>4</xdr:row>
      <xdr:rowOff>38100</xdr:rowOff>
    </xdr:to>
    <xdr:sp macro="" textlink="">
      <xdr:nvSpPr>
        <xdr:cNvPr id="3" name="Rectangle 2">
          <a:extLst>
            <a:ext uri="{FF2B5EF4-FFF2-40B4-BE49-F238E27FC236}">
              <a16:creationId xmlns:a16="http://schemas.microsoft.com/office/drawing/2014/main" id="{DCF9AECC-F472-43F9-AE40-922D78BB2E30}"/>
            </a:ext>
          </a:extLst>
        </xdr:cNvPr>
        <xdr:cNvSpPr/>
      </xdr:nvSpPr>
      <xdr:spPr>
        <a:xfrm>
          <a:off x="4324350" y="158750"/>
          <a:ext cx="1073150" cy="800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kern="1200"/>
            <a:t>Total </a:t>
          </a:r>
        </a:p>
        <a:p>
          <a:pPr algn="ctr"/>
          <a:r>
            <a:rPr lang="en-US" sz="1400" b="1" kern="1200"/>
            <a:t>Expenses</a:t>
          </a:r>
        </a:p>
        <a:p>
          <a:pPr algn="ctr"/>
          <a:r>
            <a:rPr lang="en-US" sz="1400" b="1" kern="1200"/>
            <a:t>1,54,861   </a:t>
          </a:r>
          <a:r>
            <a:rPr lang="en-US" sz="1200" b="1" kern="1200" baseline="0"/>
            <a:t>	</a:t>
          </a:r>
          <a:endParaRPr lang="en-US" sz="1200" b="1" kern="1200"/>
        </a:p>
      </xdr:txBody>
    </xdr:sp>
    <xdr:clientData/>
  </xdr:twoCellAnchor>
  <xdr:twoCellAnchor>
    <xdr:from>
      <xdr:col>8</xdr:col>
      <xdr:colOff>381000</xdr:colOff>
      <xdr:row>0</xdr:row>
      <xdr:rowOff>165100</xdr:rowOff>
    </xdr:from>
    <xdr:to>
      <xdr:col>10</xdr:col>
      <xdr:colOff>241300</xdr:colOff>
      <xdr:row>4</xdr:row>
      <xdr:rowOff>0</xdr:rowOff>
    </xdr:to>
    <xdr:sp macro="" textlink="">
      <xdr:nvSpPr>
        <xdr:cNvPr id="4" name="Rectangle 3">
          <a:extLst>
            <a:ext uri="{FF2B5EF4-FFF2-40B4-BE49-F238E27FC236}">
              <a16:creationId xmlns:a16="http://schemas.microsoft.com/office/drawing/2014/main" id="{11A41D30-4784-4E04-81E7-D4F7C9690E83}"/>
            </a:ext>
          </a:extLst>
        </xdr:cNvPr>
        <xdr:cNvSpPr/>
      </xdr:nvSpPr>
      <xdr:spPr>
        <a:xfrm>
          <a:off x="5607050" y="165100"/>
          <a:ext cx="1079500" cy="755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kern="1200"/>
            <a:t>Over</a:t>
          </a:r>
          <a:r>
            <a:rPr lang="en-US" sz="1400" b="1" kern="1200" baseline="0"/>
            <a:t>run %</a:t>
          </a:r>
        </a:p>
        <a:p>
          <a:pPr algn="l"/>
          <a:r>
            <a:rPr lang="en-US" sz="1400" b="1" kern="1200" baseline="0"/>
            <a:t>         0</a:t>
          </a:r>
          <a:endParaRPr lang="en-US" sz="1400" b="1" kern="12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590550</xdr:colOff>
      <xdr:row>2</xdr:row>
      <xdr:rowOff>19050</xdr:rowOff>
    </xdr:from>
    <xdr:to>
      <xdr:col>11</xdr:col>
      <xdr:colOff>285750</xdr:colOff>
      <xdr:row>17</xdr:row>
      <xdr:rowOff>0</xdr:rowOff>
    </xdr:to>
    <xdr:graphicFrame macro="">
      <xdr:nvGraphicFramePr>
        <xdr:cNvPr id="2" name="Chart 1">
          <a:extLst>
            <a:ext uri="{FF2B5EF4-FFF2-40B4-BE49-F238E27FC236}">
              <a16:creationId xmlns:a16="http://schemas.microsoft.com/office/drawing/2014/main" id="{66B7FFFD-3993-19B9-6004-197759113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587375</xdr:colOff>
      <xdr:row>0</xdr:row>
      <xdr:rowOff>139700</xdr:rowOff>
    </xdr:from>
    <xdr:to>
      <xdr:col>11</xdr:col>
      <xdr:colOff>282575</xdr:colOff>
      <xdr:row>15</xdr:row>
      <xdr:rowOff>120650</xdr:rowOff>
    </xdr:to>
    <xdr:graphicFrame macro="">
      <xdr:nvGraphicFramePr>
        <xdr:cNvPr id="3" name="Chart 2">
          <a:extLst>
            <a:ext uri="{FF2B5EF4-FFF2-40B4-BE49-F238E27FC236}">
              <a16:creationId xmlns:a16="http://schemas.microsoft.com/office/drawing/2014/main" id="{793CB97D-D825-1D26-6445-BF3E9ED0F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19050</xdr:colOff>
      <xdr:row>0</xdr:row>
      <xdr:rowOff>171450</xdr:rowOff>
    </xdr:from>
    <xdr:to>
      <xdr:col>7</xdr:col>
      <xdr:colOff>19050</xdr:colOff>
      <xdr:row>14</xdr:row>
      <xdr:rowOff>117475</xdr:rowOff>
    </xdr:to>
    <mc:AlternateContent xmlns:mc="http://schemas.openxmlformats.org/markup-compatibility/2006">
      <mc:Choice xmlns:a14="http://schemas.microsoft.com/office/drawing/2010/main" Requires="a14">
        <xdr:graphicFrame macro="">
          <xdr:nvGraphicFramePr>
            <xdr:cNvPr id="2" name="Delivery Status">
              <a:extLst>
                <a:ext uri="{FF2B5EF4-FFF2-40B4-BE49-F238E27FC236}">
                  <a16:creationId xmlns:a16="http://schemas.microsoft.com/office/drawing/2014/main" id="{D1C7D818-8964-23A8-005D-06CA27E92E2D}"/>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320675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596900</xdr:colOff>
      <xdr:row>1</xdr:row>
      <xdr:rowOff>38100</xdr:rowOff>
    </xdr:from>
    <xdr:to>
      <xdr:col>10</xdr:col>
      <xdr:colOff>596900</xdr:colOff>
      <xdr:row>14</xdr:row>
      <xdr:rowOff>168275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A92E5179-CC08-7A25-6FC4-D469F0810C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613400" y="222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50483101851" backgroundQuery="1" createdVersion="8" refreshedVersion="8" minRefreshableVersion="3" recordCount="0" supportSubquery="1" supportAdvancedDrill="1" xr:uid="{19AC1C78-B012-4323-9EE5-89891153ED30}">
  <cacheSource type="external" connectionId="1"/>
  <cacheFields count="2">
    <cacheField name="[Range].[Region].[Region]" caption="Region" numFmtId="0" hierarchy="1" level="1">
      <sharedItems count="4">
        <s v="East"/>
        <s v="North"/>
        <s v="South"/>
        <s v="West"/>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50481250003" backgroundQuery="1" createdVersion="8" refreshedVersion="8" minRefreshableVersion="3" recordCount="0" supportSubquery="1" supportAdvancedDrill="1" xr:uid="{5E57E96D-63F0-439E-90E7-192F0FDEF986}">
  <cacheSource type="external" connectionId="1"/>
  <cacheFields count="3">
    <cacheField name="[Range].[Salesperson].[Salesperson]" caption="Salesperson" numFmtId="0" hierarchy="2" level="1">
      <sharedItems count="5">
        <s v="Alice"/>
        <s v="Bob"/>
        <s v="Charlie"/>
        <s v="David"/>
        <s v="Eva"/>
      </sharedItems>
    </cacheField>
    <cacheField name="[Measures].[Sum of Revenue]" caption="Sum of Revenue" numFmtId="0" hierarchy="58" level="32767"/>
    <cacheField name="[Measures].[Sum of Profit]" caption="Sum of Profit" numFmtId="0" hierarchy="5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50902662038" backgroundQuery="1" createdVersion="8" refreshedVersion="8" minRefreshableVersion="3" recordCount="0" supportSubquery="1" supportAdvancedDrill="1" xr:uid="{38603475-CAAF-48D6-8622-538182E967A6}">
  <cacheSource type="external" connectionId="1"/>
  <cacheFields count="3">
    <cacheField name="[Range].[Date].[Date]" caption="Date" numFmtId="0" level="1">
      <sharedItems containsSemiMixedTypes="0" containsNonDate="0" containsDate="1" containsString="0" minDate="2023-01-26T00:00:00" maxDate="2023-12-23T00:00:00" count="27">
        <d v="2023-01-26T00:00:00"/>
        <d v="2023-01-28T00:00:00"/>
        <d v="2023-02-06T00:00:00"/>
        <d v="2023-02-12T00:00:00"/>
        <d v="2023-02-13T00:00:00"/>
        <d v="2023-02-15T00:00:00"/>
        <d v="2023-03-13T00:00:00"/>
        <d v="2023-03-23T00:00:00"/>
        <d v="2023-04-01T00:00:00"/>
        <d v="2023-04-03T00:00:00"/>
        <d v="2023-04-08T00:00:00"/>
        <d v="2023-04-30T00:00:00"/>
        <d v="2023-05-03T00:00:00"/>
        <d v="2023-06-29T00:00:00"/>
        <d v="2023-07-02T00:00:00"/>
        <d v="2023-07-09T00:00:00"/>
        <d v="2023-08-01T00:00:00"/>
        <d v="2023-08-11T00:00:00"/>
        <d v="2023-08-17T00:00:00"/>
        <d v="2023-09-01T00:00:00"/>
        <d v="2023-09-08T00:00:00"/>
        <d v="2023-09-09T00:00:00"/>
        <d v="2023-10-03T00:00:00"/>
        <d v="2023-11-17T00:00:00"/>
        <d v="2023-11-19T00:00:00"/>
        <d v="2023-12-07T00:00:00"/>
        <d v="2023-12-22T00:00:00"/>
      </sharedItems>
    </cacheField>
    <cacheField name="[Range].[Date (Month)].[Date (Month)]" caption="Date (Month)" numFmtId="0" hierarchy="8" level="1">
      <sharedItems count="12">
        <s v="Jan"/>
        <s v="Feb"/>
        <s v="Mar"/>
        <s v="Apr"/>
        <s v="May"/>
        <s v="Jun"/>
        <s v="Jul"/>
        <s v="Aug"/>
        <s v="Sep"/>
        <s v="Oct"/>
        <s v="Nov"/>
        <s v="Dec"/>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7338125" backgroundQuery="1" createdVersion="8" refreshedVersion="8" minRefreshableVersion="3" recordCount="0" supportSubquery="1" supportAdvancedDrill="1" xr:uid="{2B551A86-4811-4DBE-A5BF-62CCE44D41D9}">
  <cacheSource type="external" connectionId="1"/>
  <cacheFields count="2">
    <cacheField name="[Range].[Product].[Product]" caption="Product" numFmtId="0" hierarchy="3" level="1">
      <sharedItems count="5">
        <s v="Keyboard"/>
        <s v="Laptop"/>
        <s v="Monitor"/>
        <s v="Phone"/>
        <s v="Tablet"/>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50902662038" backgroundQuery="1" createdVersion="8" refreshedVersion="8" minRefreshableVersion="3" recordCount="0" supportSubquery="1" supportAdvancedDrill="1" xr:uid="{9E86E4DF-EA0C-4EEB-B807-D11AADEBFDB5}">
  <cacheSource type="external" connectionId="1"/>
  <cacheFields count="3">
    <cacheField name="[Range].[Date].[Date]" caption="Date" numFmtId="0" level="1">
      <sharedItems containsSemiMixedTypes="0" containsNonDate="0" containsDate="1" containsString="0" minDate="2023-01-26T00:00:00" maxDate="2023-12-23T00:00:00" count="27">
        <d v="2023-01-26T00:00:00"/>
        <d v="2023-01-28T00:00:00"/>
        <d v="2023-02-06T00:00:00"/>
        <d v="2023-02-12T00:00:00"/>
        <d v="2023-02-13T00:00:00"/>
        <d v="2023-02-15T00:00:00"/>
        <d v="2023-03-13T00:00:00"/>
        <d v="2023-03-23T00:00:00"/>
        <d v="2023-04-01T00:00:00"/>
        <d v="2023-04-03T00:00:00"/>
        <d v="2023-04-08T00:00:00"/>
        <d v="2023-04-30T00:00:00"/>
        <d v="2023-05-03T00:00:00"/>
        <d v="2023-06-29T00:00:00"/>
        <d v="2023-07-02T00:00:00"/>
        <d v="2023-07-09T00:00:00"/>
        <d v="2023-08-01T00:00:00"/>
        <d v="2023-08-11T00:00:00"/>
        <d v="2023-08-17T00:00:00"/>
        <d v="2023-09-01T00:00:00"/>
        <d v="2023-09-08T00:00:00"/>
        <d v="2023-09-09T00:00:00"/>
        <d v="2023-10-03T00:00:00"/>
        <d v="2023-11-17T00:00:00"/>
        <d v="2023-11-19T00:00:00"/>
        <d v="2023-12-07T00:00:00"/>
        <d v="2023-12-22T00:00:00"/>
      </sharedItems>
    </cacheField>
    <cacheField name="[Range].[Date (Month)].[Date (Month)]" caption="Date (Month)" numFmtId="0" hierarchy="8" level="1">
      <sharedItems count="12">
        <s v="Jan"/>
        <s v="Feb"/>
        <s v="Mar"/>
        <s v="Apr"/>
        <s v="May"/>
        <s v="Jun"/>
        <s v="Jul"/>
        <s v="Aug"/>
        <s v="Sep"/>
        <s v="Oct"/>
        <s v="Nov"/>
        <s v="Dec"/>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50483101851" backgroundQuery="1" createdVersion="8" refreshedVersion="8" minRefreshableVersion="3" recordCount="0" supportSubquery="1" supportAdvancedDrill="1" xr:uid="{B1218306-F2BF-42B0-8F2E-1F3D8CC9EAC2}">
  <cacheSource type="external" connectionId="1"/>
  <cacheFields count="2">
    <cacheField name="[Range].[Region].[Region]" caption="Region" numFmtId="0" hierarchy="1" level="1">
      <sharedItems count="4">
        <s v="East"/>
        <s v="North"/>
        <s v="South"/>
        <s v="West"/>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80346990743" backgroundQuery="1" createdVersion="8" refreshedVersion="8" minRefreshableVersion="3" recordCount="0" supportSubquery="1" supportAdvancedDrill="1" xr:uid="{E97E6372-A977-4CC5-AF9E-D774E263B51B}">
  <cacheSource type="external" connectionId="1"/>
  <cacheFields count="2">
    <cacheField name="[Range].[Salesperson].[Salesperson]" caption="Salesperson" numFmtId="0" hierarchy="2" level="1">
      <sharedItems count="5">
        <s v="Alice"/>
        <s v="Bob"/>
        <s v="Charlie"/>
        <s v="David"/>
        <s v="Eva"/>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82336689814" backgroundQuery="1" createdVersion="8" refreshedVersion="8" minRefreshableVersion="3" recordCount="0" supportSubquery="1" supportAdvancedDrill="1" xr:uid="{62EECECC-6733-4BE7-9BF0-64FB13BAD2A5}">
  <cacheSource type="external" connectionId="1"/>
  <cacheFields count="2">
    <cacheField name="[Range].[Salesperson].[Salesperson]" caption="Salesperson" numFmtId="0" hierarchy="2" level="1">
      <sharedItems count="5">
        <s v="Alice"/>
        <s v="Bob"/>
        <s v="Charlie"/>
        <s v="David"/>
        <s v="Eva"/>
      </sharedItems>
    </cacheField>
    <cacheField name="[Measures].[Sum of Revenue]" caption="Sum of Revenue" numFmtId="0" hierarchy="5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56547106478" backgroundQuery="1" createdVersion="8" refreshedVersion="8" minRefreshableVersion="3" recordCount="0" supportSubquery="1" supportAdvancedDrill="1" xr:uid="{3E37943B-5F0B-474B-A771-BF92B5CF6805}">
  <cacheSource type="external" connectionId="1"/>
  <cacheFields count="3">
    <cacheField name="[Range 1].[Department].[Department]" caption="Department" numFmtId="0" hierarchy="10" level="1">
      <sharedItems count="4">
        <s v="HR"/>
        <s v="IT"/>
        <s v="Sales"/>
        <s v="Support"/>
      </sharedItems>
    </cacheField>
    <cacheField name="[Measures].[Count of Employee ID]" caption="Count of Employee ID" numFmtId="0" hierarchy="60" level="32767"/>
    <cacheField name="[Range 1].[Status].[Status]" caption="Status" numFmtId="0" hierarchy="15" level="1">
      <sharedItems containsSemiMixedTypes="0" containsNonDate="0" containsString="0"/>
    </cacheField>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2" memberValueDatatype="130" unbalanced="0">
      <fieldsUsage count="2">
        <fieldUsage x="-1"/>
        <fieldUsage x="2"/>
      </fieldsUsage>
    </cacheHierarchy>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56545601854" backgroundQuery="1" createdVersion="8" refreshedVersion="8" minRefreshableVersion="3" recordCount="0" supportSubquery="1" supportAdvancedDrill="1" xr:uid="{D75031FA-5474-407D-B2FB-95A6D9A9366D}">
  <cacheSource type="external" connectionId="1"/>
  <cacheFields count="4">
    <cacheField name="[Range 1].[Department].[Department]" caption="Department" numFmtId="0" hierarchy="10" level="1">
      <sharedItems count="5">
        <s v="Finance"/>
        <s v="HR"/>
        <s v="IT"/>
        <s v="Sales"/>
        <s v="Support"/>
      </sharedItems>
    </cacheField>
    <cacheField name="[Range 1].[Gender].[Gender]" caption="Gender" numFmtId="0" hierarchy="11" level="1">
      <sharedItems count="2">
        <s v="Female"/>
        <s v="Male"/>
      </sharedItems>
    </cacheField>
    <cacheField name="[Measures].[Count of Employee ID]" caption="Count of Employee ID" numFmtId="0" hierarchy="60" level="32767"/>
    <cacheField name="[Range 1].[Status].[Status]" caption="Status" numFmtId="0" hierarchy="15" level="1">
      <sharedItems containsSemiMixedTypes="0" containsNonDate="0" containsString="0"/>
    </cacheField>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2" memberValueDatatype="130" unbalanced="0">
      <fieldsUsage count="2">
        <fieldUsage x="-1"/>
        <fieldUsage x="1"/>
      </fieldsUsage>
    </cacheHierarchy>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2" memberValueDatatype="130" unbalanced="0">
      <fieldsUsage count="2">
        <fieldUsage x="-1"/>
        <fieldUsage x="3"/>
      </fieldsUsage>
    </cacheHierarchy>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56548263886" backgroundQuery="1" createdVersion="8" refreshedVersion="8" minRefreshableVersion="3" recordCount="0" supportSubquery="1" supportAdvancedDrill="1" xr:uid="{D0F38B44-0EFA-485B-B5B7-B456EDE0B7E6}">
  <cacheSource type="external" connectionId="1"/>
  <cacheFields count="3">
    <cacheField name="[Range 1].[Department].[Department]" caption="Department" numFmtId="0" hierarchy="10" level="1">
      <sharedItems count="5">
        <s v="Finance"/>
        <s v="HR"/>
        <s v="IT"/>
        <s v="Sales"/>
        <s v="Support"/>
      </sharedItems>
    </cacheField>
    <cacheField name="[Measures].[Average of Age]" caption="Average of Age" numFmtId="0" hierarchy="62" level="32767"/>
    <cacheField name="[Measures].[Average of Salary]" caption="Average of Salary" numFmtId="0" hierarchy="64"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5767708333" backgroundQuery="1" createdVersion="8" refreshedVersion="8" minRefreshableVersion="3" recordCount="0" supportSubquery="1" supportAdvancedDrill="1" xr:uid="{1777E3E6-D2FA-4A4F-BBFE-BC42425959D5}">
  <cacheSource type="external" connectionId="1"/>
  <cacheFields count="4">
    <cacheField name="[Range 1].[Exit Date].[Exit Date]" caption="Exit Date" numFmtId="0" hierarchy="14" level="1">
      <sharedItems containsNonDate="0" containsDate="1" containsString="0" containsBlank="1" minDate="2021-05-02T00:00:00" maxDate="2026-02-02T00:00:00" count="21">
        <m/>
        <d v="2021-05-02T00:00:00"/>
        <d v="2021-10-08T00:00:00"/>
        <d v="2021-11-20T00:00:00"/>
        <d v="2021-12-15T00:00:00"/>
        <d v="2022-01-02T00:00:00"/>
        <d v="2023-01-23T00:00:00"/>
        <d v="2023-04-26T00:00:00"/>
        <d v="2023-09-07T00:00:00"/>
        <d v="2023-12-04T00:00:00"/>
        <d v="2023-12-29T00:00:00"/>
        <d v="2024-03-15T00:00:00"/>
        <d v="2024-05-30T00:00:00"/>
        <d v="2024-06-06T00:00:00"/>
        <d v="2024-07-18T00:00:00"/>
        <d v="2024-11-18T00:00:00"/>
        <d v="2024-11-29T00:00:00"/>
        <d v="2025-01-11T00:00:00"/>
        <d v="2025-03-02T00:00:00"/>
        <d v="2025-08-18T00:00:00"/>
        <d v="2026-02-01T00:00:00"/>
      </sharedItems>
    </cacheField>
    <cacheField name="[Range 1].[Exit Date (Year)].[Exit Date (Year)]" caption="Exit Date (Year)" numFmtId="0" hierarchy="17" level="1">
      <sharedItems count="6">
        <s v="2021"/>
        <s v="2022"/>
        <s v="2023"/>
        <s v="2024"/>
        <s v="2025"/>
        <s v="2026"/>
      </sharedItems>
    </cacheField>
    <cacheField name="[Measures].[Count of Employee ID]" caption="Count of Employee ID" numFmtId="0" hierarchy="60" level="32767"/>
    <cacheField name="[Range 1].[Status].[Status]" caption="Status" numFmtId="0" hierarchy="15" level="1">
      <sharedItems containsSemiMixedTypes="0" containsNonDate="0" containsString="0"/>
    </cacheField>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2" memberValueDatatype="7" unbalanced="0">
      <fieldsUsage count="2">
        <fieldUsage x="-1"/>
        <fieldUsage x="0"/>
      </fieldsUsage>
    </cacheHierarchy>
    <cacheHierarchy uniqueName="[Range 1].[Status]" caption="Status" attribute="1" defaultMemberUniqueName="[Range 1].[Status].[All]" allUniqueName="[Range 1].[Status].[All]" dimensionUniqueName="[Range 1]" displayFolder="" count="2" memberValueDatatype="130" unbalanced="0">
      <fieldsUsage count="2">
        <fieldUsage x="-1"/>
        <fieldUsage x="3"/>
      </fieldsUsage>
    </cacheHierarchy>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2" memberValueDatatype="130" unbalanced="0">
      <fieldsUsage count="2">
        <fieldUsage x="-1"/>
        <fieldUsage x="1"/>
      </fieldsUsage>
    </cacheHierarchy>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58633680559" backgroundQuery="1" createdVersion="8" refreshedVersion="8" minRefreshableVersion="3" recordCount="0" supportSubquery="1" supportAdvancedDrill="1" xr:uid="{06F19641-BAFE-42B9-AE72-9F86A8B5F929}">
  <cacheSource type="external" connectionId="1"/>
  <cacheFields count="2">
    <cacheField name="[Range 1].[Gender].[Gender]" caption="Gender" numFmtId="0" hierarchy="11" level="1">
      <sharedItems count="2">
        <s v="Female"/>
        <s v="Male"/>
      </sharedItems>
    </cacheField>
    <cacheField name="[Measures].[Count of Employee ID]" caption="Count of Employee ID" numFmtId="0" hierarchy="60"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0"/>
      </fieldsUsage>
    </cacheHierarchy>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6021365741" backgroundQuery="1" createdVersion="8" refreshedVersion="8" minRefreshableVersion="3" recordCount="0" supportSubquery="1" supportAdvancedDrill="1" xr:uid="{F1CEB925-E61C-45A2-B8E6-B61186C7DCF4}">
  <cacheSource type="external" connectionId="1"/>
  <cacheFields count="3">
    <cacheField name="[Range 1].[Department].[Department]" caption="Department" numFmtId="0" hierarchy="10" level="1">
      <sharedItems count="5">
        <s v="Finance"/>
        <s v="HR"/>
        <s v="IT"/>
        <s v="Sales"/>
        <s v="Support"/>
      </sharedItems>
    </cacheField>
    <cacheField name="[Measures].[Count of Employee ID]" caption="Count of Employee ID" numFmtId="0" hierarchy="60" level="32767"/>
    <cacheField name="[Range 1].[Status].[Status]" caption="Status" numFmtId="0" hierarchy="15" level="1">
      <sharedItems containsSemiMixedTypes="0" containsNonDate="0" containsString="0"/>
    </cacheField>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2" memberValueDatatype="130" unbalanced="0">
      <fieldsUsage count="2">
        <fieldUsage x="-1"/>
        <fieldUsage x="2"/>
      </fieldsUsage>
    </cacheHierarchy>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70456712967" backgroundQuery="1" createdVersion="8" refreshedVersion="8" minRefreshableVersion="3" recordCount="0" supportSubquery="1" supportAdvancedDrill="1" xr:uid="{94280B99-6EB6-4EF0-8AA9-C59FC1A48AD9}">
  <cacheSource type="external" connectionId="1"/>
  <cacheFields count="2">
    <cacheField name="[Range 1].[Department].[Department]" caption="Department" numFmtId="0" hierarchy="10" level="1">
      <sharedItems count="5">
        <s v="Finance"/>
        <s v="HR"/>
        <s v="IT"/>
        <s v="Sales"/>
        <s v="Support"/>
      </sharedItems>
    </cacheField>
    <cacheField name="[Measures].[Count of Employee ID]" caption="Count of Employee ID" numFmtId="0" hierarchy="60"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81119907409" backgroundQuery="1" createdVersion="8" refreshedVersion="8" minRefreshableVersion="3" recordCount="0" supportSubquery="1" supportAdvancedDrill="1" xr:uid="{19A27DC4-2B34-48F3-99A5-5D7ACD7B078D}">
  <cacheSource type="external" connectionId="1"/>
  <cacheFields count="3">
    <cacheField name="[Range 2].[Product ID].[Product ID]" caption="Product ID" numFmtId="0" hierarchy="20" level="1">
      <sharedItems count="30">
        <s v="P100"/>
        <s v="P101"/>
        <s v="P102"/>
        <s v="P103"/>
        <s v="P104"/>
        <s v="P105"/>
        <s v="P106"/>
        <s v="P107"/>
        <s v="P108"/>
        <s v="P109"/>
        <s v="P110"/>
        <s v="P111"/>
        <s v="P112"/>
        <s v="P113"/>
        <s v="P114"/>
        <s v="P115"/>
        <s v="P116"/>
        <s v="P117"/>
        <s v="P118"/>
        <s v="P119"/>
        <s v="P120"/>
        <s v="P121"/>
        <s v="P122"/>
        <s v="P123"/>
        <s v="P124"/>
        <s v="P125"/>
        <s v="P126"/>
        <s v="P127"/>
        <s v="P128"/>
        <s v="P129"/>
      </sharedItems>
    </cacheField>
    <cacheField name="[Measures].[Sum of Quantity Purchased]" caption="Sum of Quantity Purchased" numFmtId="0" hierarchy="65" level="32767"/>
    <cacheField name="[Measures].[Sum of Quantity Sold]" caption="Sum of Quantity Sold" numFmtId="0" hierarchy="66"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2" memberValueDatatype="130" unbalanced="0">
      <fieldsUsage count="2">
        <fieldUsage x="-1"/>
        <fieldUsage x="0"/>
      </fieldsUsage>
    </cacheHierarchy>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81121296294" backgroundQuery="1" createdVersion="8" refreshedVersion="8" minRefreshableVersion="3" recordCount="0" supportSubquery="1" supportAdvancedDrill="1" xr:uid="{BD69E455-3CC5-464D-AFF2-6632AB389511}">
  <cacheSource type="external" connectionId="1"/>
  <cacheFields count="2">
    <cacheField name="[Range 2].[Product Category].[Product Category]" caption="Product Category" numFmtId="0" hierarchy="21" level="1">
      <sharedItems count="3">
        <s v="Electronics"/>
        <s v="Furniture"/>
        <s v="Stationery"/>
      </sharedItems>
    </cacheField>
    <cacheField name="[Measures].[Sum of Closing Stock]" caption="Sum of Closing Stock" numFmtId="0" hierarchy="67"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2" memberValueDatatype="130" unbalanced="0">
      <fieldsUsage count="2">
        <fieldUsage x="-1"/>
        <fieldUsage x="0"/>
      </fieldsUsage>
    </cacheHierarchy>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82302430557" backgroundQuery="1" createdVersion="8" refreshedVersion="8" minRefreshableVersion="3" recordCount="0" supportSubquery="1" supportAdvancedDrill="1" xr:uid="{B8D29A8D-F5F0-474A-9636-C4756E4D9535}">
  <cacheSource type="external" connectionId="1"/>
  <cacheFields count="2">
    <cacheField name="[Range 2].[Date (Day)].[Date (Day)]" caption="Date (Day)" numFmtId="0" hierarchy="29" level="1">
      <sharedItems count="30">
        <s v="11-Jan"/>
        <s v="15-Jan"/>
        <s v="18-Jan"/>
        <s v="21-Jan"/>
        <s v="15-Feb"/>
        <s v="21-Feb"/>
        <s v="26-Feb"/>
        <s v="2-Mar"/>
        <s v="18-Mar"/>
        <s v="19-Mar"/>
        <s v="10-Apr"/>
        <s v="25-Apr"/>
        <s v="6-May"/>
        <s v="17-Jun"/>
        <s v="23-Jun"/>
        <s v="16-Jul"/>
        <s v="9-Aug"/>
        <s v="15-Aug"/>
        <s v="17-Aug"/>
        <s v="28-Aug"/>
        <s v="20-Sep"/>
        <s v="22-Sep"/>
        <s v="15-Oct"/>
        <s v="25-Oct"/>
        <s v="31-Oct"/>
        <s v="17-Nov"/>
        <s v="1-Dec"/>
        <s v="9-Dec"/>
        <s v="18-Dec"/>
        <s v="26-Dec"/>
      </sharedItems>
    </cacheField>
    <cacheField name="[Measures].[Sum of Quantity Sold]" caption="Sum of Quantity Sold" numFmtId="0" hierarchy="66"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2" memberValueDatatype="130" unbalanced="0">
      <fieldsUsage count="2">
        <fieldUsage x="-1"/>
        <fieldUsage x="0"/>
      </fieldsUsage>
    </cacheHierarchy>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84586342593" backgroundQuery="1" createdVersion="8" refreshedVersion="8" minRefreshableVersion="3" recordCount="0" supportSubquery="1" supportAdvancedDrill="1" xr:uid="{E725236F-005E-49EA-A386-5D7FB544A27D}">
  <cacheSource type="external" connectionId="1"/>
  <cacheFields count="2">
    <cacheField name="[Range 2].[Product Category].[Product Category]" caption="Product Category" numFmtId="0" hierarchy="21" level="1">
      <sharedItems count="3">
        <s v="Electronics"/>
        <s v="Furniture"/>
        <s v="Stationery"/>
      </sharedItems>
    </cacheField>
    <cacheField name="[Measures].[Sum of Closing Stock]" caption="Sum of Closing Stock" numFmtId="0" hierarchy="67"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2" memberValueDatatype="130" unbalanced="0">
      <fieldsUsage count="2">
        <fieldUsage x="-1"/>
        <fieldUsage x="0"/>
      </fieldsUsage>
    </cacheHierarchy>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2188773146" backgroundQuery="1" createdVersion="8" refreshedVersion="8" minRefreshableVersion="3" recordCount="0" supportSubquery="1" supportAdvancedDrill="1" xr:uid="{AC7E93A7-B478-44E6-A9C4-79008FB8B4B6}">
  <cacheSource type="external" connectionId="1"/>
  <cacheFields count="3">
    <cacheField name="[Range 3].[Department].[Department]" caption="Department" numFmtId="0" hierarchy="30" level="1">
      <sharedItems count="4">
        <s v="Admin"/>
        <s v="IT"/>
        <s v="Marketing"/>
        <s v="Operations"/>
      </sharedItems>
    </cacheField>
    <cacheField name="[Measures].[Sum of Budget]" caption="Sum of Budget" numFmtId="0" hierarchy="68" level="32767"/>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2" memberValueDatatype="130" unbalanced="0">
      <fieldsUsage count="2">
        <fieldUsage x="-1"/>
        <fieldUsage x="0"/>
      </fieldsUsage>
    </cacheHierarchy>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2187152775" backgroundQuery="1" createdVersion="8" refreshedVersion="8" minRefreshableVersion="3" recordCount="0" supportSubquery="1" supportAdvancedDrill="1" xr:uid="{AB26A5DD-A991-41D8-9CF3-7494490F4BEC}">
  <cacheSource type="external" connectionId="1"/>
  <cacheFields count="3">
    <cacheField name="[Range 3].[Expense Category].[Expense Category]" caption="Expense Category" numFmtId="0" hierarchy="31" level="1">
      <sharedItems count="4">
        <s v="Consulting"/>
        <s v="Software"/>
        <s v="Supplies"/>
        <s v="Travel"/>
      </sharedItems>
    </cacheField>
    <cacheField name="[Measures].[Sum of Expense Amount]" caption="Sum of Expense Amount" numFmtId="0" hierarchy="69" level="32767"/>
    <cacheField name="[Measures].[Sum of Budget]" caption="Sum of Budget" numFmtId="0" hierarchy="68"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2" memberValueDatatype="130" unbalanced="0">
      <fieldsUsage count="2">
        <fieldUsage x="-1"/>
        <fieldUsage x="0"/>
      </fieldsUsage>
    </cacheHierarchy>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3369560185" backgroundQuery="1" createdVersion="8" refreshedVersion="8" minRefreshableVersion="3" recordCount="0" supportSubquery="1" supportAdvancedDrill="1" xr:uid="{A37C715E-EE1E-41CA-9EE7-4DBBCCE504CF}">
  <cacheSource type="external" connectionId="1"/>
  <cacheFields count="3">
    <cacheField name="[Range 3].[Date].[Date]" caption="Date" numFmtId="0" hierarchy="34" level="1">
      <sharedItems containsSemiMixedTypes="0" containsNonDate="0" containsDate="1" containsString="0" minDate="2023-01-15T00:00:00" maxDate="2023-12-21T00:00:00" count="29">
        <d v="2023-01-15T00:00:00"/>
        <d v="2023-02-23T00:00:00"/>
        <d v="2023-03-18T00:00:00"/>
        <d v="2023-04-06T00:00:00"/>
        <d v="2023-04-18T00:00:00"/>
        <d v="2023-04-25T00:00:00"/>
        <d v="2023-05-17T00:00:00"/>
        <d v="2023-05-20T00:00:00"/>
        <d v="2023-06-14T00:00:00"/>
        <d v="2023-06-28T00:00:00"/>
        <d v="2023-07-04T00:00:00"/>
        <d v="2023-07-11T00:00:00"/>
        <d v="2023-07-13T00:00:00"/>
        <d v="2023-07-18T00:00:00"/>
        <d v="2023-07-21T00:00:00"/>
        <d v="2023-07-23T00:00:00"/>
        <d v="2023-08-02T00:00:00"/>
        <d v="2023-08-14T00:00:00"/>
        <d v="2023-08-20T00:00:00"/>
        <d v="2023-09-07T00:00:00"/>
        <d v="2023-09-08T00:00:00"/>
        <d v="2023-09-14T00:00:00"/>
        <d v="2023-09-22T00:00:00"/>
        <d v="2023-10-11T00:00:00"/>
        <d v="2023-11-03T00:00:00"/>
        <d v="2023-11-29T00:00:00"/>
        <d v="2023-11-30T00:00:00"/>
        <d v="2023-12-17T00:00:00"/>
        <d v="2023-12-20T00:00:00"/>
      </sharedItems>
    </cacheField>
    <cacheField name="[Range 3].[Date (Month)].[Date (Month)]" caption="Date (Month)" numFmtId="0" hierarchy="36" level="1">
      <sharedItems count="12">
        <s v="Jan"/>
        <s v="Feb"/>
        <s v="Mar"/>
        <s v="Apr"/>
        <s v="May"/>
        <s v="Jun"/>
        <s v="Jul"/>
        <s v="Aug"/>
        <s v="Sep"/>
        <s v="Oct"/>
        <s v="Nov"/>
        <s v="Dec"/>
      </sharedItems>
    </cacheField>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2" memberValueDatatype="7" unbalanced="0">
      <fieldsUsage count="2">
        <fieldUsage x="-1"/>
        <fieldUsage x="0"/>
      </fieldsUsage>
    </cacheHierarchy>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2" memberValueDatatype="130" unbalanced="0">
      <fieldsUsage count="2">
        <fieldUsage x="-1"/>
        <fieldUsage x="1"/>
      </fieldsUsage>
    </cacheHierarchy>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4025578706" backgroundQuery="1" createdVersion="8" refreshedVersion="8" minRefreshableVersion="3" recordCount="0" supportSubquery="1" supportAdvancedDrill="1" xr:uid="{491A7B1C-2F59-43A3-AE58-C08C8BDB5FF4}">
  <cacheSource type="external" connectionId="1"/>
  <cacheFields count="2">
    <cacheField name="[Range 3].[Project Name].[Project Name]" caption="Project Name" numFmtId="0" hierarchy="35" level="1">
      <sharedItems count="4">
        <s v="Alpha"/>
        <s v="Beta"/>
        <s v="Delta"/>
        <s v="Gamma"/>
      </sharedItems>
    </cacheField>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2" memberValueDatatype="130" unbalanced="0">
      <fieldsUsage count="2">
        <fieldUsage x="-1"/>
        <fieldUsage x="0"/>
      </fieldsUsage>
    </cacheHierarchy>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5672106479" backgroundQuery="1" createdVersion="8" refreshedVersion="8" minRefreshableVersion="3" recordCount="0" supportSubquery="1" supportAdvancedDrill="1" xr:uid="{4619D364-843F-4753-99A2-CAE50144A906}">
  <cacheSource type="external" connectionId="1"/>
  <cacheFields count="3">
    <cacheField name="[Range 3].[Expense Category].[Expense Category]" caption="Expense Category" numFmtId="0" hierarchy="31" level="1">
      <sharedItems count="4">
        <s v="Consulting"/>
        <s v="Software"/>
        <s v="Supplies"/>
        <s v="Travel"/>
      </sharedItems>
    </cacheField>
    <cacheField name="[Measures].[Sum of Budget]" caption="Sum of Budget" numFmtId="0" hierarchy="68" level="32767"/>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2" memberValueDatatype="130" unbalanced="0">
      <fieldsUsage count="2">
        <fieldUsage x="-1"/>
        <fieldUsage x="0"/>
      </fieldsUsage>
    </cacheHierarchy>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99178124998" backgroundQuery="1" createdVersion="8" refreshedVersion="8" minRefreshableVersion="3" recordCount="0" supportSubquery="1" supportAdvancedDrill="1" xr:uid="{D07690E8-E269-4D1E-9106-4DA1D14EF80B}">
  <cacheSource type="external" connectionId="1"/>
  <cacheFields count="3">
    <cacheField name="[Range 3].[Expense Category].[Expense Category]" caption="Expense Category" numFmtId="0" hierarchy="31" level="1">
      <sharedItems count="4">
        <s v="Consulting"/>
        <s v="Software"/>
        <s v="Supplies"/>
        <s v="Travel"/>
      </sharedItems>
    </cacheField>
    <cacheField name="[Measures].[Sum of Budget]" caption="Sum of Budget" numFmtId="0" hierarchy="68" level="32767"/>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2" memberValueDatatype="130" unbalanced="0">
      <fieldsUsage count="2">
        <fieldUsage x="-1"/>
        <fieldUsage x="0"/>
      </fieldsUsage>
    </cacheHierarchy>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02536342594" backgroundQuery="1" createdVersion="8" refreshedVersion="8" minRefreshableVersion="3" recordCount="0" supportSubquery="1" supportAdvancedDrill="1" xr:uid="{09082E55-08AE-4630-842A-6538FE64B9E2}">
  <cacheSource type="external" connectionId="1"/>
  <cacheFields count="2">
    <cacheField name="[Range 3].[Expense Category].[Expense Category]" caption="Expense Category" numFmtId="0" hierarchy="31" level="1">
      <sharedItems count="4">
        <s v="Consulting"/>
        <s v="Software"/>
        <s v="Supplies"/>
        <s v="Travel"/>
      </sharedItems>
    </cacheField>
    <cacheField name="[Measures].[Sum of Expense Amount]" caption="Sum of Expense Amount" numFmtId="0" hierarchy="69"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2" memberValueDatatype="130" unbalanced="0">
      <fieldsUsage count="2">
        <fieldUsage x="-1"/>
        <fieldUsage x="0"/>
      </fieldsUsage>
    </cacheHierarchy>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16078009261" backgroundQuery="1" createdVersion="8" refreshedVersion="8" minRefreshableVersion="3" recordCount="0" supportSubquery="1" supportAdvancedDrill="1" xr:uid="{88584D14-7C09-4509-9ACC-EA0E2BF3F9B2}">
  <cacheSource type="external" connectionId="1"/>
  <cacheFields count="3">
    <cacheField name="[Range 4].[Customer Name].[Customer Name]" caption="Customer Name" numFmtId="0" hierarchy="38" level="1">
      <sharedItems count="5">
        <s v="Adani"/>
        <s v="Flipkart"/>
        <s v="HUL"/>
        <s v="Reliance"/>
        <s v="Tata"/>
      </sharedItems>
    </cacheField>
    <cacheField name="[Range 4].[Delivery Status].[Delivery Status]" caption="Delivery Status" numFmtId="0" hierarchy="43" level="1">
      <sharedItems count="2">
        <s v="Delayed"/>
        <s v="On Time"/>
      </sharedItems>
    </cacheField>
    <cacheField name="[Measures].[Count of Order ID]" caption="Count of Order ID" numFmtId="0" hierarchy="70"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2" memberValueDatatype="130" unbalanced="0">
      <fieldsUsage count="2">
        <fieldUsage x="-1"/>
        <fieldUsage x="0"/>
      </fieldsUsage>
    </cacheHierarchy>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2" memberValueDatatype="130" unbalanced="0">
      <fieldsUsage count="2">
        <fieldUsage x="-1"/>
        <fieldUsage x="1"/>
      </fieldsUsage>
    </cacheHierarchy>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16079513886" backgroundQuery="1" createdVersion="8" refreshedVersion="8" minRefreshableVersion="3" recordCount="0" supportSubquery="1" supportAdvancedDrill="1" xr:uid="{4F30C3A8-3C23-4147-93EF-15613DAE1E1F}">
  <cacheSource type="external" connectionId="1"/>
  <cacheFields count="2">
    <cacheField name="[Range 4].[Product].[Product]" caption="Product" numFmtId="0" hierarchy="41" level="1">
      <sharedItems count="4">
        <s v="Access Point"/>
        <s v="Modem"/>
        <s v="Router"/>
        <s v="Switch"/>
      </sharedItems>
    </cacheField>
    <cacheField name="[Measures].[Average of Delivery Duration (Days)]" caption="Average of Delivery Duration (Days)" numFmtId="0" hierarchy="72"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2" memberValueDatatype="130" unbalanced="0">
      <fieldsUsage count="2">
        <fieldUsage x="-1"/>
        <fieldUsage x="0"/>
      </fieldsUsage>
    </cacheHierarchy>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16540740739" backgroundQuery="1" createdVersion="8" refreshedVersion="8" minRefreshableVersion="3" recordCount="0" supportSubquery="1" supportAdvancedDrill="1" xr:uid="{9F1254E4-8D8E-448D-9387-09C4D20ED3AF}">
  <cacheSource type="external" connectionId="1"/>
  <cacheFields count="4">
    <cacheField name="[Range 4].[Order Date].[Order Date]" caption="Order Date" numFmtId="0" hierarchy="39" level="1">
      <sharedItems containsSemiMixedTypes="0" containsNonDate="0" containsDate="1" containsString="0" minDate="2023-02-01T00:00:00" maxDate="2023-11-24T00:00:00" count="30">
        <d v="2023-02-01T00:00:00"/>
        <d v="2023-02-20T00:00:00"/>
        <d v="2023-02-25T00:00:00"/>
        <d v="2023-03-21T00:00:00"/>
        <d v="2023-04-23T00:00:00"/>
        <d v="2023-05-03T00:00:00"/>
        <d v="2023-05-04T00:00:00"/>
        <d v="2023-05-19T00:00:00"/>
        <d v="2023-05-22T00:00:00"/>
        <d v="2023-05-25T00:00:00"/>
        <d v="2023-06-04T00:00:00"/>
        <d v="2023-06-13T00:00:00"/>
        <d v="2023-07-04T00:00:00"/>
        <d v="2023-07-18T00:00:00"/>
        <d v="2023-07-23T00:00:00"/>
        <d v="2023-07-28T00:00:00"/>
        <d v="2023-08-03T00:00:00"/>
        <d v="2023-08-05T00:00:00"/>
        <d v="2023-09-13T00:00:00"/>
        <d v="2023-09-27T00:00:00"/>
        <d v="2023-09-30T00:00:00"/>
        <d v="2023-10-01T00:00:00"/>
        <d v="2023-10-08T00:00:00"/>
        <d v="2023-10-12T00:00:00"/>
        <d v="2023-10-19T00:00:00"/>
        <d v="2023-10-24T00:00:00"/>
        <d v="2023-11-06T00:00:00"/>
        <d v="2023-11-08T00:00:00"/>
        <d v="2023-11-20T00:00:00"/>
        <d v="2023-11-23T00:00:00"/>
      </sharedItems>
    </cacheField>
    <cacheField name="[Range 4].[Order Date (Month)].[Order Date (Month)]" caption="Order Date (Month)" numFmtId="0" hierarchy="45" level="1">
      <sharedItems count="10">
        <s v="Feb"/>
        <s v="Mar"/>
        <s v="Apr"/>
        <s v="May"/>
        <s v="Jun"/>
        <s v="Jul"/>
        <s v="Aug"/>
        <s v="Sep"/>
        <s v="Oct"/>
        <s v="Nov"/>
      </sharedItems>
    </cacheField>
    <cacheField name="[Measures].[Count of Order ID]" caption="Count of Order ID" numFmtId="0" hierarchy="70" level="32767"/>
    <cacheField name="[Measures].[Sum of Order Value]" caption="Sum of Order Value" numFmtId="0" hierarchy="73"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2" memberValueDatatype="7" unbalanced="0">
      <fieldsUsage count="2">
        <fieldUsage x="-1"/>
        <fieldUsage x="0"/>
      </fieldsUsage>
    </cacheHierarchy>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oneField="1" hidden="1">
      <fieldsUsage count="1">
        <fieldUsage x="3"/>
      </fieldsUsage>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18973611112" backgroundQuery="1" createdVersion="8" refreshedVersion="8" minRefreshableVersion="3" recordCount="0" supportSubquery="1" supportAdvancedDrill="1" xr:uid="{7AFF89AA-764E-4A33-8FE2-6487E8001509}">
  <cacheSource type="external" connectionId="1"/>
  <cacheFields count="3">
    <cacheField name="[Range 4].[Customer Name].[Customer Name]" caption="Customer Name" numFmtId="0" hierarchy="38" level="1">
      <sharedItems count="4">
        <s v="Flipkart"/>
        <s v="HUL"/>
        <s v="Reliance"/>
        <s v="Tata"/>
      </sharedItems>
    </cacheField>
    <cacheField name="[Range 4].[Delivery Status].[Delivery Status]" caption="Delivery Status" numFmtId="0" hierarchy="43" level="1">
      <sharedItems containsSemiMixedTypes="0" containsNonDate="0" containsString="0"/>
    </cacheField>
    <cacheField name="[Measures].[Count of Order ID]" caption="Count of Order ID" numFmtId="0" hierarchy="70"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2" memberValueDatatype="130" unbalanced="0">
      <fieldsUsage count="2">
        <fieldUsage x="-1"/>
        <fieldUsage x="0"/>
      </fieldsUsage>
    </cacheHierarchy>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2" memberValueDatatype="130" unbalanced="0">
      <fieldsUsage count="2">
        <fieldUsage x="-1"/>
        <fieldUsage x="1"/>
      </fieldsUsage>
    </cacheHierarchy>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20348611112" backgroundQuery="1" createdVersion="8" refreshedVersion="8" minRefreshableVersion="3" recordCount="0" supportSubquery="1" supportAdvancedDrill="1" xr:uid="{0EE78633-A63F-4D00-BCF0-B5D6FFE40249}">
  <cacheSource type="external" connectionId="1"/>
  <cacheFields count="3">
    <cacheField name="[Range 4].[Order Date (Month)].[Order Date (Month)]" caption="Order Date (Month)" numFmtId="0" hierarchy="45" level="1">
      <sharedItems count="10">
        <s v="Feb"/>
        <s v="Mar"/>
        <s v="Apr"/>
        <s v="May"/>
        <s v="Jun"/>
        <s v="Jul"/>
        <s v="Aug"/>
        <s v="Sep"/>
        <s v="Oct"/>
        <s v="Nov"/>
      </sharedItems>
    </cacheField>
    <cacheField name="[Measures].[Count of Order ID]" caption="Count of Order ID" numFmtId="0" hierarchy="70" level="32767"/>
    <cacheField name="[Measures].[Sum of Order Value]" caption="Sum of Order Value" numFmtId="0" hierarchy="73"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2"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oneField="1" hidden="1">
      <fieldsUsage count="1">
        <fieldUsage x="2"/>
      </fieldsUsage>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18973611112" backgroundQuery="1" createdVersion="8" refreshedVersion="8" minRefreshableVersion="3" recordCount="0" supportSubquery="1" supportAdvancedDrill="1" xr:uid="{CCDEC690-5461-4F80-BE7D-1376F7628D3E}">
  <cacheSource type="external" connectionId="1"/>
  <cacheFields count="3">
    <cacheField name="[Range 4].[Customer Name].[Customer Name]" caption="Customer Name" numFmtId="0" hierarchy="38" level="1">
      <sharedItems count="4">
        <s v="Flipkart"/>
        <s v="HUL"/>
        <s v="Reliance"/>
        <s v="Tata"/>
      </sharedItems>
    </cacheField>
    <cacheField name="[Range 4].[Delivery Status].[Delivery Status]" caption="Delivery Status" numFmtId="0" hierarchy="43" level="1">
      <sharedItems containsSemiMixedTypes="0" containsNonDate="0" containsString="0"/>
    </cacheField>
    <cacheField name="[Measures].[Count of Order ID]" caption="Count of Order ID" numFmtId="0" hierarchy="70"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2" memberValueDatatype="130" unbalanced="0">
      <fieldsUsage count="2">
        <fieldUsage x="-1"/>
        <fieldUsage x="0"/>
      </fieldsUsage>
    </cacheHierarchy>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2" memberValueDatatype="130" unbalanced="0">
      <fieldsUsage count="2">
        <fieldUsage x="-1"/>
        <fieldUsage x="1"/>
      </fieldsUsage>
    </cacheHierarchy>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30370370367" backgroundQuery="1" createdVersion="8" refreshedVersion="8" minRefreshableVersion="3" recordCount="0" supportSubquery="1" supportAdvancedDrill="1" xr:uid="{96F5ADC4-9578-4A04-92EF-23C434938C74}">
  <cacheSource type="external" connectionId="1"/>
  <cacheFields count="2">
    <cacheField name="[Range 4].[Product].[Product]" caption="Product" numFmtId="0" hierarchy="41" level="1">
      <sharedItems count="4">
        <s v="Access Point"/>
        <s v="Modem"/>
        <s v="Router"/>
        <s v="Switch"/>
      </sharedItems>
    </cacheField>
    <cacheField name="[Measures].[Average of Delivery Duration (Days)]" caption="Average of Delivery Duration (Days)" numFmtId="0" hierarchy="72" level="32767"/>
  </cacheFields>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2" memberValueDatatype="130" unbalanced="0">
      <fieldsUsage count="2">
        <fieldUsage x="-1"/>
        <fieldUsage x="0"/>
      </fieldsUsage>
    </cacheHierarchy>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36323495368" backgroundQuery="1" createdVersion="8" refreshedVersion="8" minRefreshableVersion="3" recordCount="0" supportSubquery="1" supportAdvancedDrill="1" xr:uid="{3CBF64A6-3DAC-4D53-822B-9E0DD5E1C9B6}">
  <cacheSource type="external" connectionId="1"/>
  <cacheFields count="2">
    <cacheField name="[Range 4].[Customer Name].[Customer Name]" caption="Customer Name" numFmtId="0" hierarchy="38" level="1">
      <sharedItems count="5">
        <s v="Adani"/>
        <s v="Flipkart"/>
        <s v="HUL"/>
        <s v="Reliance"/>
        <s v="Tata"/>
      </sharedItems>
    </cacheField>
    <cacheField name="[Measures].[Count of Order ID]" caption="Count of Order ID" numFmtId="0" hierarchy="70" level="32767"/>
  </cacheFields>
  <cacheHierarchies count="74">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Range].[Date (Month)]" caption="Date (Month)" attribute="1" defaultMemberUniqueName="[Range].[Date (Month)].[All]" allUniqueName="[Range].[Date (Month)].[All]" dimensionUniqueName="[Range]" displayFolder="" count="2" memberValueDatatype="130" unbalanced="0"/>
    <cacheHierarchy uniqueName="[Range 1].[Employee ID]" caption="Employee ID" attribute="1" defaultMemberUniqueName="[Range 1].[Employee ID].[All]" allUniqueName="[Range 1].[Employee ID].[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Gender]" caption="Gender" attribute="1" defaultMemberUniqueName="[Range 1].[Gender].[All]" allUniqueName="[Range 1].[Gender].[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Join Date]" caption="Join Date" attribute="1" time="1" defaultMemberUniqueName="[Range 1].[Join Date].[All]" allUniqueName="[Range 1].[Join Date].[All]" dimensionUniqueName="[Range 1]" displayFolder="" count="2" memberValueDatatype="7" unbalanced="0"/>
    <cacheHierarchy uniqueName="[Range 1].[Exit Date]" caption="Exit Date" attribute="1" time="1" defaultMemberUniqueName="[Range 1].[Exit Date].[All]" allUniqueName="[Range 1].[Exit Date].[All]" dimensionUniqueName="[Range 1]" displayFolder="" count="2" memberValueDatatype="7" unbalanced="0"/>
    <cacheHierarchy uniqueName="[Range 1].[Status]" caption="Status" attribute="1" defaultMemberUniqueName="[Range 1].[Status].[All]" allUniqueName="[Range 1].[Status].[All]" dimensionUniqueName="[Range 1]" displayFolder="" count="2" memberValueDatatype="130" unbalanced="0"/>
    <cacheHierarchy uniqueName="[Range 1].[Salary]" caption="Salary" attribute="1" defaultMemberUniqueName="[Range 1].[Salary].[All]" allUniqueName="[Range 1].[Salary].[All]" dimensionUniqueName="[Range 1]" displayFolder="" count="2" memberValueDatatype="20" unbalanced="0"/>
    <cacheHierarchy uniqueName="[Range 1].[Exit Date (Year)]" caption="Exit Date (Year)" attribute="1" defaultMemberUniqueName="[Range 1].[Exit Date (Year)].[All]" allUniqueName="[Range 1].[Exit Date (Year)].[All]" dimensionUniqueName="[Range 1]" displayFolder="" count="2" memberValueDatatype="130" unbalanced="0"/>
    <cacheHierarchy uniqueName="[Range 1].[Exit Date (Quarter)]" caption="Exit Date (Quarter)" attribute="1" defaultMemberUniqueName="[Range 1].[Exit Date (Quarter)].[All]" allUniqueName="[Range 1].[Exit Date (Quarter)].[All]" dimensionUniqueName="[Range 1]" displayFolder="" count="2" memberValueDatatype="130" unbalanced="0"/>
    <cacheHierarchy uniqueName="[Range 1].[Exit Date (Month)]" caption="Exit Date (Month)" attribute="1" defaultMemberUniqueName="[Range 1].[Exit Date (Month)].[All]" allUniqueName="[Range 1].[Exit Date (Month)].[All]" dimensionUniqueName="[Range 1]" displayFolder="" count="2" memberValueDatatype="130" unbalanced="0"/>
    <cacheHierarchy uniqueName="[Range 2].[Product ID]" caption="Product ID" attribute="1" defaultMemberUniqueName="[Range 2].[Product ID].[All]" allUniqueName="[Range 2].[Product ID].[All]" dimensionUniqueName="[Range 2]" displayFolder="" count="2" memberValueDatatype="130" unbalanced="0"/>
    <cacheHierarchy uniqueName="[Range 2].[Product Category]" caption="Product Category" attribute="1" defaultMemberUniqueName="[Range 2].[Product Category].[All]" allUniqueName="[Range 2].[Product Category].[All]" dimensionUniqueName="[Range 2]" displayFolder="" count="2" memberValueDatatype="130" unbalanced="0"/>
    <cacheHierarchy uniqueName="[Range 2].[Warehouse]" caption="Warehouse" attribute="1" defaultMemberUniqueName="[Range 2].[Warehouse].[All]" allUniqueName="[Range 2].[Warehouse].[All]" dimensionUniqueName="[Range 2]" displayFolder="" count="2" memberValueDatatype="130" unbalanced="0"/>
    <cacheHierarchy uniqueName="[Range 2].[Opening Stock]" caption="Opening Stock" attribute="1" defaultMemberUniqueName="[Range 2].[Opening Stock].[All]" allUniqueName="[Range 2].[Opening Stock].[All]" dimensionUniqueName="[Range 2]" displayFolder="" count="2" memberValueDatatype="20" unbalanced="0"/>
    <cacheHierarchy uniqueName="[Range 2].[Quantity Sold]" caption="Quantity Sold" attribute="1" defaultMemberUniqueName="[Range 2].[Quantity Sold].[All]" allUniqueName="[Range 2].[Quantity Sold].[All]" dimensionUniqueName="[Range 2]" displayFolder="" count="2" memberValueDatatype="20" unbalanced="0"/>
    <cacheHierarchy uniqueName="[Range 2].[Quantity Purchased]" caption="Quantity Purchased" attribute="1" defaultMemberUniqueName="[Range 2].[Quantity Purchased].[All]" allUniqueName="[Range 2].[Quantity Purchased].[All]" dimensionUniqueName="[Range 2]" displayFolder="" count="2" memberValueDatatype="20" unbalanced="0"/>
    <cacheHierarchy uniqueName="[Range 2].[Date]" caption="Date" attribute="1" time="1" defaultMemberUniqueName="[Range 2].[Date].[All]" allUniqueName="[Range 2].[Date].[All]" dimensionUniqueName="[Range 2]" displayFolder="" count="2" memberValueDatatype="7" unbalanced="0"/>
    <cacheHierarchy uniqueName="[Range 2].[Closing Stock]" caption="Closing Stock" attribute="1" defaultMemberUniqueName="[Range 2].[Closing Stock].[All]" allUniqueName="[Range 2].[Closing Stock].[All]" dimensionUniqueName="[Range 2]" displayFolder="" count="2" memberValueDatatype="20" unbalanced="0"/>
    <cacheHierarchy uniqueName="[Range 2].[Date (Month)]" caption="Date (Month)" attribute="1" defaultMemberUniqueName="[Range 2].[Date (Month)].[All]" allUniqueName="[Range 2].[Date (Month)].[All]" dimensionUniqueName="[Range 2]" displayFolder="" count="2" memberValueDatatype="130" unbalanced="0"/>
    <cacheHierarchy uniqueName="[Range 2].[Date (Day)]" caption="Date (Day)" attribute="1" defaultMemberUniqueName="[Range 2].[Date (Day)].[All]" allUniqueName="[Range 2].[Date (Day)].[All]" dimensionUniqueName="[Range 2]" displayFolder="" count="2" memberValueDatatype="130" unbalanced="0"/>
    <cacheHierarchy uniqueName="[Range 3].[Department]" caption="Department" attribute="1" defaultMemberUniqueName="[Range 3].[Department].[All]" allUniqueName="[Range 3].[Department].[All]" dimensionUniqueName="[Range 3]" displayFolder="" count="2" memberValueDatatype="130" unbalanced="0"/>
    <cacheHierarchy uniqueName="[Range 3].[Expense Category]" caption="Expense Category" attribute="1" defaultMemberUniqueName="[Range 3].[Expense Category].[All]" allUniqueName="[Range 3].[Expense Category].[All]" dimensionUniqueName="[Range 3]" displayFolder="" count="2" memberValueDatatype="130" unbalanced="0"/>
    <cacheHierarchy uniqueName="[Range 3].[Expense Amount]" caption="Expense Amount" attribute="1" defaultMemberUniqueName="[Range 3].[Expense Amount].[All]" allUniqueName="[Range 3].[Expense Amount].[All]" dimensionUniqueName="[Range 3]" displayFolder="" count="2" memberValueDatatype="20" unbalanced="0"/>
    <cacheHierarchy uniqueName="[Range 3].[Budget]" caption="Budget" attribute="1" defaultMemberUniqueName="[Range 3].[Budget].[All]" allUniqueName="[Range 3].[Budget].[All]" dimensionUniqueName="[Range 3]" displayFolder="" count="2" memberValueDatatype="20" unbalanced="0"/>
    <cacheHierarchy uniqueName="[Range 3].[Date]" caption="Date" attribute="1" time="1" defaultMemberUniqueName="[Range 3].[Date].[All]" allUniqueName="[Range 3].[Date].[All]" dimensionUniqueName="[Range 3]" displayFolder="" count="2" memberValueDatatype="7" unbalanced="0"/>
    <cacheHierarchy uniqueName="[Range 3].[Project Name]" caption="Project Name" attribute="1" defaultMemberUniqueName="[Range 3].[Project Name].[All]" allUniqueName="[Range 3].[Project Name].[All]" dimensionUniqueName="[Range 3]" displayFolder="" count="2" memberValueDatatype="130" unbalanced="0"/>
    <cacheHierarchy uniqueName="[Range 3].[Date (Month)]" caption="Date (Month)" attribute="1" defaultMemberUniqueName="[Range 3].[Date (Month)].[All]" allUniqueName="[Range 3].[Date (Month)].[All]" dimensionUniqueName="[Range 3]" displayFolder="" count="2" memberValueDatatype="130" unbalanced="0"/>
    <cacheHierarchy uniqueName="[Range 4].[Order ID]" caption="Order ID" attribute="1" defaultMemberUniqueName="[Range 4].[Order ID].[All]" allUniqueName="[Range 4].[Order ID].[All]" dimensionUniqueName="[Range 4]" displayFolder="" count="2" memberValueDatatype="130" unbalanced="0"/>
    <cacheHierarchy uniqueName="[Range 4].[Customer Name]" caption="Customer Name" attribute="1" defaultMemberUniqueName="[Range 4].[Customer Name].[All]" allUniqueName="[Range 4].[Customer Name].[All]" dimensionUniqueName="[Range 4]" displayFolder="" count="2" memberValueDatatype="130" unbalanced="0">
      <fieldsUsage count="2">
        <fieldUsage x="-1"/>
        <fieldUsage x="0"/>
      </fieldsUsage>
    </cacheHierarchy>
    <cacheHierarchy uniqueName="[Range 4].[Order Date]" caption="Order Date" attribute="1" time="1" defaultMemberUniqueName="[Range 4].[Order Date].[All]" allUniqueName="[Range 4].[Order Date].[All]" dimensionUniqueName="[Range 4]" displayFolder="" count="2" memberValueDatatype="7" unbalanced="0"/>
    <cacheHierarchy uniqueName="[Range 4].[Delivery Date]" caption="Delivery Date" attribute="1" time="1" defaultMemberUniqueName="[Range 4].[Delivery Date].[All]" allUniqueName="[Range 4].[Delivery Date].[All]" dimensionUniqueName="[Range 4]" displayFolder="" count="2" memberValueDatatype="7" unbalanced="0"/>
    <cacheHierarchy uniqueName="[Range 4].[Product]" caption="Product" attribute="1" defaultMemberUniqueName="[Range 4].[Product].[All]" allUniqueName="[Range 4].[Product].[All]" dimensionUniqueName="[Range 4]" displayFolder="" count="2" memberValueDatatype="130" unbalanced="0"/>
    <cacheHierarchy uniqueName="[Range 4].[Order Value]" caption="Order Value" attribute="1" defaultMemberUniqueName="[Range 4].[Order Value].[All]" allUniqueName="[Range 4].[Order Value].[All]" dimensionUniqueName="[Range 4]" displayFolder="" count="2" memberValueDatatype="20" unbalanced="0"/>
    <cacheHierarchy uniqueName="[Range 4].[Delivery Status]" caption="Delivery Status" attribute="1" defaultMemberUniqueName="[Range 4].[Delivery Status].[All]" allUniqueName="[Range 4].[Delivery Status].[All]" dimensionUniqueName="[Range 4]" displayFolder="" count="2"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2" memberValueDatatype="20" unbalanced="0"/>
    <cacheHierarchy uniqueName="[Range 4].[Order Date (Month)]" caption="Order Date (Month)" attribute="1" defaultMemberUniqueName="[Range 4].[Order Date (Month)].[All]" allUniqueName="[Range 4].[Order Date (Month)].[All]" dimensionUniqueName="[Range 4]"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2" memberValueDatatype="20" unbalanced="0" hidden="1"/>
    <cacheHierarchy uniqueName="[Range 2].[Date (Day Index)]" caption="Date (Day Index)" attribute="1" defaultMemberUniqueName="[Range 2].[Date (Day Index)].[All]" allUniqueName="[Range 2].[Date (Day Index)].[All]" dimensionUniqueName="[Range 2]" displayFolder="" count="2" memberValueDatatype="5" unbalanced="0" hidden="1"/>
    <cacheHierarchy uniqueName="[Range 2].[Date (Month Index)]" caption="Date (Month Index)" attribute="1" defaultMemberUniqueName="[Range 2].[Date (Month Index)].[All]" allUniqueName="[Range 2].[Date (Month Index)].[All]" dimensionUniqueName="[Range 2]" displayFolder="" count="2" memberValueDatatype="20" unbalanced="0" hidden="1"/>
    <cacheHierarchy uniqueName="[Range 3].[Date (Month Index)]" caption="Date (Month Index)" attribute="1" defaultMemberUniqueName="[Range 3].[Date (Month Index)].[All]" allUniqueName="[Range 3].[Date (Month Index)].[All]" dimensionUniqueName="[Range 3]" displayFolder="" count="2"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881871412035" backgroundQuery="1" createdVersion="3" refreshedVersion="8" minRefreshableVersion="3" recordCount="0" supportSubquery="1" supportAdvancedDrill="1" xr:uid="{13966564-5286-4C15-B6AA-D383775ABC9F}">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20" unbalanced="0"/>
    <cacheHierarchy uniqueName="[Range].[Salesperson]" caption="Salesperson" attribute="1" defaultMemberUniqueName="[Range].[Salesperson].[All]" allUniqueName="[Range].[Salesperson].[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167529198"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584583333337" backgroundQuery="1" createdVersion="3" refreshedVersion="8" minRefreshableVersion="3" recordCount="0" supportSubquery="1" supportAdvancedDrill="1" xr:uid="{692FFA1C-0477-489D-A34D-A92593E7D099}">
  <cacheSource type="external" connectionId="1">
    <extLst>
      <ext xmlns:x14="http://schemas.microsoft.com/office/spreadsheetml/2009/9/main" uri="{F057638F-6D5F-4e77-A914-E7F072B9BCA8}">
        <x14:sourceConnection name="ThisWorkbookDataModel"/>
      </ext>
    </extLst>
  </cacheSource>
  <cacheFields count="0"/>
  <cacheHierarchies count="73">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licerData="1" pivotCacheId="2119843477"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3631840278" backgroundQuery="1" createdVersion="3" refreshedVersion="8" minRefreshableVersion="3" recordCount="0" supportSubquery="1" supportAdvancedDrill="1" xr:uid="{5B473C38-9588-487E-8289-5C4762FD7510}">
  <cacheSource type="external" connectionId="1">
    <extLst>
      <ext xmlns:x14="http://schemas.microsoft.com/office/spreadsheetml/2009/9/main" uri="{F057638F-6D5F-4e77-A914-E7F072B9BCA8}">
        <x14:sourceConnection name="ThisWorkbookDataModel"/>
      </ext>
    </extLst>
  </cacheSource>
  <cacheFields count="0"/>
  <cacheHierarchies count="74">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2"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2"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Sum of Order Value]" caption="Sum of Order Value" measure="1" displayFolder="" measureGroup="Range 4"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1373505875"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8.969207754628" backgroundQuery="1" createdVersion="3" refreshedVersion="8" minRefreshableVersion="3" recordCount="0" supportSubquery="1" supportAdvancedDrill="1" xr:uid="{D057E36D-A8CE-4FFC-9D95-2BFD01D91A6A}">
  <cacheSource type="external" connectionId="1">
    <extLst>
      <ext xmlns:x14="http://schemas.microsoft.com/office/spreadsheetml/2009/9/main" uri="{F057638F-6D5F-4e77-A914-E7F072B9BCA8}">
        <x14:sourceConnection name="ThisWorkbookDataModel"/>
      </ext>
    </extLst>
  </cacheSource>
  <cacheFields count="0"/>
  <cacheHierarchies count="73">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pivotCacheId="9556060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dhika Jeswani" refreshedDate="46089.602532523146" backgroundQuery="1" createdVersion="3" refreshedVersion="8" minRefreshableVersion="3" recordCount="0" supportSubquery="1" supportAdvancedDrill="1" xr:uid="{4E861EFD-26BE-42FB-970F-6A8D21167571}">
  <cacheSource type="external" connectionId="1">
    <extLst>
      <ext xmlns:x14="http://schemas.microsoft.com/office/spreadsheetml/2009/9/main" uri="{F057638F-6D5F-4e77-A914-E7F072B9BCA8}">
        <x14:sourceConnection name="ThisWorkbookDataModel"/>
      </ext>
    </extLst>
  </cacheSource>
  <cacheFields count="0"/>
  <cacheHierarchies count="73">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Join Date]" caption="Join Date" attribute="1" time="1" defaultMemberUniqueName="[Range 1].[Join Date].[All]" allUniqueName="[Range 1].[Join Date].[All]" dimensionUniqueName="[Range 1]" displayFolder="" count="0" memberValueDatatype="7" unbalanced="0"/>
    <cacheHierarchy uniqueName="[Range 1].[Exit Date]" caption="Exit Date" attribute="1" time="1" defaultMemberUniqueName="[Range 1].[Exit Date].[All]" allUniqueName="[Range 1].[Exit Date].[All]" dimensionUniqueName="[Range 1]" displayFolder="" count="0" memberValueDatatype="7" unbalanced="0"/>
    <cacheHierarchy uniqueName="[Range 1].[Status]" caption="Status" attribute="1" defaultMemberUniqueName="[Range 1].[Status].[All]" allUniqueName="[Range 1].[Status].[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20" unbalanced="0"/>
    <cacheHierarchy uniqueName="[Range 1].[Exit Date (Year)]" caption="Exit Date (Year)" attribute="1" defaultMemberUniqueName="[Range 1].[Exit Date (Year)].[All]" allUniqueName="[Range 1].[Exit Date (Year)].[All]" dimensionUniqueName="[Range 1]" displayFolder="" count="0" memberValueDatatype="130" unbalanced="0"/>
    <cacheHierarchy uniqueName="[Range 1].[Exit Date (Quarter)]" caption="Exit Date (Quarter)" attribute="1" defaultMemberUniqueName="[Range 1].[Exit Date (Quarter)].[All]" allUniqueName="[Range 1].[Exit Date (Quarter)].[All]" dimensionUniqueName="[Range 1]" displayFolder="" count="0" memberValueDatatype="130" unbalanced="0"/>
    <cacheHierarchy uniqueName="[Range 1].[Exit Date (Month)]" caption="Exit Date (Month)" attribute="1" defaultMemberUniqueName="[Range 1].[Exit Date (Month)].[All]" allUniqueName="[Range 1].[Exit Date (Month)].[All]" dimensionUniqueName="[Range 1]" displayFolder="" count="0" memberValueDatatype="130" unbalanced="0"/>
    <cacheHierarchy uniqueName="[Range 2].[Product ID]" caption="Product ID" attribute="1" defaultMemberUniqueName="[Range 2].[Product ID].[All]" allUniqueName="[Range 2].[Product ID].[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Warehouse]" caption="Warehouse" attribute="1" defaultMemberUniqueName="[Range 2].[Warehouse].[All]" allUniqueName="[Range 2].[Warehouse].[All]" dimensionUniqueName="[Range 2]" displayFolder="" count="0" memberValueDatatype="130" unbalanced="0"/>
    <cacheHierarchy uniqueName="[Range 2].[Opening Stock]" caption="Opening Stock" attribute="1" defaultMemberUniqueName="[Range 2].[Opening Stock].[All]" allUniqueName="[Range 2].[Opening Stock].[All]" dimensionUniqueName="[Range 2]" displayFolder="" count="0" memberValueDatatype="20"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Quantity Purchased]" caption="Quantity Purchased" attribute="1" defaultMemberUniqueName="[Range 2].[Quantity Purchased].[All]" allUniqueName="[Range 2].[Quantity Purchased].[All]" dimensionUniqueName="[Range 2]" displayFolder="" count="0" memberValueDatatype="20" unbalanced="0"/>
    <cacheHierarchy uniqueName="[Range 2].[Date]" caption="Date" attribute="1" time="1" defaultMemberUniqueName="[Range 2].[Date].[All]" allUniqueName="[Range 2].[Date].[All]" dimensionUniqueName="[Range 2]" displayFolder="" count="0" memberValueDatatype="7" unbalanced="0"/>
    <cacheHierarchy uniqueName="[Range 2].[Closing Stock]" caption="Closing Stock" attribute="1" defaultMemberUniqueName="[Range 2].[Closing Stock].[All]" allUniqueName="[Range 2].[Closing Stock].[All]" dimensionUniqueName="[Range 2]" displayFolder="" count="0" memberValueDatatype="20" unbalanced="0"/>
    <cacheHierarchy uniqueName="[Range 2].[Date (Month)]" caption="Date (Month)" attribute="1" defaultMemberUniqueName="[Range 2].[Date (Month)].[All]" allUniqueName="[Range 2].[Date (Month)].[All]" dimensionUniqueName="[Range 2]" displayFolder="" count="0" memberValueDatatype="130" unbalanced="0"/>
    <cacheHierarchy uniqueName="[Range 2].[Date (Day)]" caption="Date (Day)" attribute="1" defaultMemberUniqueName="[Range 2].[Date (Day)].[All]" allUniqueName="[Range 2].[Date (Day)].[All]" dimensionUniqueName="[Range 2]" displayFolder="" count="0" memberValueDatatype="130" unbalanced="0"/>
    <cacheHierarchy uniqueName="[Range 3].[Department]" caption="Department" attribute="1" defaultMemberUniqueName="[Range 3].[Department].[All]" allUniqueName="[Range 3].[Department].[All]" dimensionUniqueName="[Range 3]" displayFolder="" count="0" memberValueDatatype="130" unbalanced="0"/>
    <cacheHierarchy uniqueName="[Range 3].[Expense Category]" caption="Expense Category" attribute="1" defaultMemberUniqueName="[Range 3].[Expense Category].[All]" allUniqueName="[Range 3].[Expense Category].[All]" dimensionUniqueName="[Range 3]" displayFolder="" count="0" memberValueDatatype="130" unbalanced="0"/>
    <cacheHierarchy uniqueName="[Range 3].[Expense Amount]" caption="Expense Amount" attribute="1" defaultMemberUniqueName="[Range 3].[Expense Amount].[All]" allUniqueName="[Range 3].[Expense Amount].[All]" dimensionUniqueName="[Range 3]" displayFolder="" count="0" memberValueDatatype="20" unbalanced="0"/>
    <cacheHierarchy uniqueName="[Range 3].[Budget]" caption="Budget" attribute="1" defaultMemberUniqueName="[Range 3].[Budget].[All]" allUniqueName="[Range 3].[Budget].[All]" dimensionUniqueName="[Range 3]" displayFolder="" count="0" memberValueDatatype="20" unbalanced="0"/>
    <cacheHierarchy uniqueName="[Range 3].[Date]" caption="Date" attribute="1" time="1" defaultMemberUniqueName="[Range 3].[Date].[All]" allUniqueName="[Range 3].[Date].[All]" dimensionUniqueName="[Range 3]" displayFolder="" count="0" memberValueDatatype="7" unbalanced="0"/>
    <cacheHierarchy uniqueName="[Range 3].[Project Name]" caption="Project Name" attribute="1" defaultMemberUniqueName="[Range 3].[Project Name].[All]" allUniqueName="[Range 3].[Project Name].[All]" dimensionUniqueName="[Range 3]" displayFolder="" count="0" memberValueDatatype="130" unbalanced="0"/>
    <cacheHierarchy uniqueName="[Range 3].[Date (Month)]" caption="Date (Month)" attribute="1" defaultMemberUniqueName="[Range 3].[Date (Month)].[All]" allUniqueName="[Range 3].[Date (Month)].[All]" dimensionUniqueName="[Range 3]" displayFolder="" count="0" memberValueDatatype="130" unbalanced="0"/>
    <cacheHierarchy uniqueName="[Range 4].[Order ID]" caption="Order ID" attribute="1" defaultMemberUniqueName="[Range 4].[Order ID].[All]" allUniqueName="[Range 4].[Order ID].[All]" dimensionUniqueName="[Range 4]" displayFolder="" count="0" memberValueDatatype="130" unbalanced="0"/>
    <cacheHierarchy uniqueName="[Range 4].[Customer Name]" caption="Customer Name" attribute="1" defaultMemberUniqueName="[Range 4].[Customer Name].[All]" allUniqueName="[Range 4].[Customer Name].[All]" dimensionUniqueName="[Range 4]" displayFolder="" count="0" memberValueDatatype="130" unbalanced="0"/>
    <cacheHierarchy uniqueName="[Range 4].[Order Date]" caption="Order Date" attribute="1" time="1" defaultMemberUniqueName="[Range 4].[Order Date].[All]" allUniqueName="[Range 4].[Order Date].[All]" dimensionUniqueName="[Range 4]" displayFolder="" count="0" memberValueDatatype="7" unbalanced="0"/>
    <cacheHierarchy uniqueName="[Range 4].[Delivery Date]" caption="Delivery Date" attribute="1" time="1" defaultMemberUniqueName="[Range 4].[Delivery Date].[All]" allUniqueName="[Range 4].[Delivery Date].[All]" dimensionUniqueName="[Range 4]" displayFolder="" count="0" memberValueDatatype="7" unbalanced="0"/>
    <cacheHierarchy uniqueName="[Range 4].[Product]" caption="Product" attribute="1" defaultMemberUniqueName="[Range 4].[Product].[All]" allUniqueName="[Range 4].[Product].[All]" dimensionUniqueName="[Range 4]" displayFolder="" count="0" memberValueDatatype="130" unbalanced="0"/>
    <cacheHierarchy uniqueName="[Range 4].[Order Value]" caption="Order Value" attribute="1" defaultMemberUniqueName="[Range 4].[Order Value].[All]" allUniqueName="[Range 4].[Order Value].[All]" dimensionUniqueName="[Range 4]" displayFolder="" count="0" memberValueDatatype="20" unbalanced="0"/>
    <cacheHierarchy uniqueName="[Range 4].[Delivery Status]" caption="Delivery Status" attribute="1" defaultMemberUniqueName="[Range 4].[Delivery Status].[All]" allUniqueName="[Range 4].[Delivery Status].[All]" dimensionUniqueName="[Range 4]" displayFolder="" count="0" memberValueDatatype="130" unbalanced="0"/>
    <cacheHierarchy uniqueName="[Range 4].[Delivery Duration (Days)]" caption="Delivery Duration (Days)" attribute="1" defaultMemberUniqueName="[Range 4].[Delivery Duration (Days)].[All]" allUniqueName="[Range 4].[Delivery Duration (Days)].[All]" dimensionUniqueName="[Range 4]" displayFolder="" count="0" memberValueDatatype="20" unbalanced="0"/>
    <cacheHierarchy uniqueName="[Range 4].[Order Date (Month)]" caption="Order Date (Month)" attribute="1" defaultMemberUniqueName="[Range 4].[Order Date (Month)].[All]" allUniqueName="[Range 4].[Order Date (Month)].[All]" dimensionUniqueName="[Range 4]"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Exit Date (Month Index)]" caption="Exit Date (Month Index)" attribute="1" defaultMemberUniqueName="[Range 1].[Exit Date (Month Index)].[All]" allUniqueName="[Range 1].[Exit Date (Month Index)].[All]" dimensionUniqueName="[Range 1]" displayFolder="" count="0" memberValueDatatype="20" unbalanced="0" hidden="1"/>
    <cacheHierarchy uniqueName="[Range 2].[Date (Day Index)]" caption="Date (Day Index)" attribute="1" defaultMemberUniqueName="[Range 2].[Date (Day Index)].[All]" allUniqueName="[Range 2].[Date (Day Index)].[All]" dimensionUniqueName="[Range 2]" displayFolder="" count="0" memberValueDatatype="5" unbalanced="0" hidden="1"/>
    <cacheHierarchy uniqueName="[Range 2].[Date (Month Index)]" caption="Date (Month Index)" attribute="1" defaultMemberUniqueName="[Range 2].[Date (Month Index)].[All]" allUniqueName="[Range 2].[Date (Month Index)].[All]" dimensionUniqueName="[Range 2]" displayFolder="" count="0" memberValueDatatype="20" unbalanced="0" hidden="1"/>
    <cacheHierarchy uniqueName="[Range 3].[Date (Month Index)]" caption="Date (Month Index)" attribute="1" defaultMemberUniqueName="[Range 3].[Date (Month Index)].[All]" allUniqueName="[Range 3].[Date (Month Index)].[All]" dimensionUniqueName="[Range 3]" displayFolder="" count="0" memberValueDatatype="20" unbalanced="0" hidden="1"/>
    <cacheHierarchy uniqueName="[Range 4].[Order Date (Month Index)]" caption="Order Date (Month Index)" attribute="1" defaultMemberUniqueName="[Range 4].[Order Date (Month Index)].[All]" allUniqueName="[Range 4].[Order Date (Month Index)].[All]" dimensionUniqueName="[Range 4]"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Count of Employee ID]" caption="Count of Employee ID" measure="1" displayFolder="" measureGroup="Range 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Range 1" count="0" hidden="1">
      <extLst>
        <ext xmlns:x15="http://schemas.microsoft.com/office/spreadsheetml/2010/11/main" uri="{B97F6D7D-B522-45F9-BDA1-12C45D357490}">
          <x15:cacheHierarchy aggregatedColumn="12"/>
        </ext>
      </extLst>
    </cacheHierarchy>
    <cacheHierarchy uniqueName="[Measures].[Sum of Salary]" caption="Sum of Salary" measure="1" displayFolder="" measureGroup="Range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Range 1" count="0" hidden="1">
      <extLst>
        <ext xmlns:x15="http://schemas.microsoft.com/office/spreadsheetml/2010/11/main" uri="{B97F6D7D-B522-45F9-BDA1-12C45D357490}">
          <x15:cacheHierarchy aggregatedColumn="16"/>
        </ext>
      </extLst>
    </cacheHierarchy>
    <cacheHierarchy uniqueName="[Measures].[Sum of Quantity Purchased]" caption="Sum of Quantity Purchased" measure="1" displayFolder="" measureGroup="Range 2" count="0" hidden="1">
      <extLst>
        <ext xmlns:x15="http://schemas.microsoft.com/office/spreadsheetml/2010/11/main" uri="{B97F6D7D-B522-45F9-BDA1-12C45D357490}">
          <x15:cacheHierarchy aggregatedColumn="25"/>
        </ext>
      </extLst>
    </cacheHierarchy>
    <cacheHierarchy uniqueName="[Measures].[Sum of Quantity Sold]" caption="Sum of Quantity Sold" measure="1" displayFolder="" measureGroup="Range 2" count="0" hidden="1">
      <extLst>
        <ext xmlns:x15="http://schemas.microsoft.com/office/spreadsheetml/2010/11/main" uri="{B97F6D7D-B522-45F9-BDA1-12C45D357490}">
          <x15:cacheHierarchy aggregatedColumn="24"/>
        </ext>
      </extLst>
    </cacheHierarchy>
    <cacheHierarchy uniqueName="[Measures].[Sum of Closing Stock]" caption="Sum of Closing Stock" measure="1" displayFolder="" measureGroup="Range 2" count="0" hidden="1">
      <extLst>
        <ext xmlns:x15="http://schemas.microsoft.com/office/spreadsheetml/2010/11/main" uri="{B97F6D7D-B522-45F9-BDA1-12C45D357490}">
          <x15:cacheHierarchy aggregatedColumn="27"/>
        </ext>
      </extLst>
    </cacheHierarchy>
    <cacheHierarchy uniqueName="[Measures].[Sum of Budget]" caption="Sum of Budget" measure="1" displayFolder="" measureGroup="Range 3" count="0" hidden="1">
      <extLst>
        <ext xmlns:x15="http://schemas.microsoft.com/office/spreadsheetml/2010/11/main" uri="{B97F6D7D-B522-45F9-BDA1-12C45D357490}">
          <x15:cacheHierarchy aggregatedColumn="33"/>
        </ext>
      </extLst>
    </cacheHierarchy>
    <cacheHierarchy uniqueName="[Measures].[Sum of Expense Amount]" caption="Sum of Expense Amount" measure="1" displayFolder="" measureGroup="Range 3" count="0" hidden="1">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Range 4" count="0" hidden="1">
      <extLst>
        <ext xmlns:x15="http://schemas.microsoft.com/office/spreadsheetml/2010/11/main" uri="{B97F6D7D-B522-45F9-BDA1-12C45D357490}">
          <x15:cacheHierarchy aggregatedColumn="37"/>
        </ext>
      </extLst>
    </cacheHierarchy>
    <cacheHierarchy uniqueName="[Measures].[Sum of Delivery Duration (Days)]" caption="Sum of Delivery Duration (Days)" measure="1" displayFolder="" measureGroup="Range 4" count="0" hidden="1">
      <extLst>
        <ext xmlns:x15="http://schemas.microsoft.com/office/spreadsheetml/2010/11/main" uri="{B97F6D7D-B522-45F9-BDA1-12C45D357490}">
          <x15:cacheHierarchy aggregatedColumn="44"/>
        </ext>
      </extLst>
    </cacheHierarchy>
    <cacheHierarchy uniqueName="[Measures].[Average of Delivery Duration (Days)]" caption="Average of Delivery Duration (Days)" measure="1" displayFolder="" measureGroup="Range 4" count="0" hidden="1">
      <extLst>
        <ext xmlns:x15="http://schemas.microsoft.com/office/spreadsheetml/2010/11/main" uri="{B97F6D7D-B522-45F9-BDA1-12C45D357490}">
          <x15:cacheHierarchy aggregatedColumn="4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pivotCacheId="18441419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1955F-18D0-4667-858C-944B3F259661}" name="PivotTable2" cacheId="1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FFD5A-8BC6-4A94-8EDA-C82F1BCA70A5}" name="PivotTable3" cacheId="1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Revenue" fld="1" baseField="0" baseItem="0"/>
    <dataField name="Sum of Profit"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499CF-919E-4DC5-A7FB-FD5D726B7D1C}" name="PivotTable4" cacheId="12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6"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Revenue"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7730A-4127-47BF-9203-ECB55FFC6C26}" name="PivotTable5" cacheId="1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2"/>
    </i>
    <i>
      <x v="4"/>
    </i>
    <i>
      <x v="3"/>
    </i>
    <i>
      <x/>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F19B48-E64F-404E-8658-9DA924F25686}" name="PivotTable4" cacheId="1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16"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4E5207-6C93-46B9-8116-670F77715D41}" name="PivotTable2" cacheId="1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C69733-BC61-40AE-8031-3AC3A651ADE6}" name="PivotTable7" cacheId="1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i>
    <i>
      <x v="3"/>
    </i>
    <i>
      <x v="2"/>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A53BBE-B921-4B4E-8400-31CED0047F29}" name="PivotTable8" cacheId="1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A$1:$H$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AFC8E1-E86A-4B23-A4B9-7D79CB18F5D4}" name="PivotTable9" cacheId="12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15" name="[Range 1].[Status].&amp;[Active]" cap="Active"/>
  </pageFields>
  <dataFields count="1">
    <dataField name="Count of Employee I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Status].&amp;[Activ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0D0E9-F155-48DC-A56C-28629CAEF0F3}" name="PivotTable10" cacheId="12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10" firstHeaderRow="1" firstDataRow="2" firstDataCol="1" rowPageCount="1" colPageCount="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pageFields count="1">
    <pageField fld="3" hier="15" name="[Range 1].[Status].&amp;[Resigned]" cap="Resigned"/>
  </pageFields>
  <dataFields count="1">
    <dataField name="Count of Employee ID" fld="2"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Status].&amp;[Resig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EC9276-F243-470A-9E68-C9C424CA60F5}" name="PivotTable11" cacheId="1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Average of Age" fld="1" subtotal="average" baseField="0" baseItem="0"/>
    <dataField name="Average of Salary" fld="2" subtotal="average" baseField="0" baseItem="0"/>
  </dataFields>
  <formats count="1">
    <format dxfId="7">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ge"/>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4D5DFB-4204-49DF-97D5-3D96A0FF7894}" name="PivotTable12" cacheId="12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0" firstHeaderRow="1" firstDataRow="1" firstDataCol="1" rowPageCount="1" colPageCount="1"/>
  <pivotFields count="4">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items count="6">
        <item x="0" e="0"/>
        <item x="1" e="0"/>
        <item x="2" e="0"/>
        <item x="3" e="0"/>
        <item x="4" e="0"/>
        <item x="5" e="0"/>
      </items>
    </pivotField>
    <pivotField dataField="1" subtotalTop="0" showAll="0" defaultSubtotal="0"/>
    <pivotField axis="axisPage" allDrilled="1" subtotalTop="0" showAll="0" dataSourceSort="1" defaultSubtotal="0" defaultAttributeDrillState="1"/>
  </pivotFields>
  <rowFields count="2">
    <field x="1"/>
    <field x="0"/>
  </rowFields>
  <rowItems count="7">
    <i>
      <x/>
    </i>
    <i>
      <x v="1"/>
    </i>
    <i>
      <x v="2"/>
    </i>
    <i>
      <x v="3"/>
    </i>
    <i>
      <x v="4"/>
    </i>
    <i>
      <x v="5"/>
    </i>
    <i t="grand">
      <x/>
    </i>
  </rowItems>
  <colItems count="1">
    <i/>
  </colItems>
  <pageFields count="1">
    <pageField fld="3" hier="15" name="[Range 1].[Status].&amp;[Resigned]" cap="Resigned"/>
  </pageFields>
  <dataFields count="1">
    <dataField name="Count of Employee ID" fld="2"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Status].&amp;[Resig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B15856-0202-48EF-A1AC-72A4C230342B}" name="PivotTable13" cacheId="12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184DD8-401E-4883-AB43-B1EB870217C0}" name="PivotTable14" cacheId="1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9" firstHeaderRow="1" firstDataRow="1" firstDataCol="1" rowPageCount="1" colPageCount="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15" name="[Range 1].[Status].&amp;[Resigned]" cap="Resigned"/>
  </pageFields>
  <dataFields count="1">
    <dataField name="Count of Employee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Status].&amp;[Resig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329381-BDEC-42B0-BA2D-E3CFC93A6B0D}" name="PivotTable15" cacheId="12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 I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A$1:$H$3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9DEEC1-8CC6-4480-AA4F-B88E06D7307D}" name="PivotTable16" cacheId="12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34" firstHeaderRow="0"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Quantity Purchased" fld="1" baseField="0" baseItem="0"/>
    <dataField name="Sum of Quantity Sold"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A$1:$H$3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873E3A8-07C8-4C76-9B90-EA03808C2A39}" name="PivotTable17" cacheId="1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losing Stock"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A$1:$H$3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871976-1F4E-4377-9C1A-5AC82BC52307}" name="PivotTable21"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4"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Sold" fld="1" baseField="0" baseItem="0"/>
  </dataFields>
  <formats count="2">
    <format dxfId="6">
      <pivotArea dataOnly="0" labelOnly="1" fieldPosition="0">
        <references count="1">
          <reference field="0" count="0"/>
        </references>
      </pivotArea>
    </format>
    <format dxfId="5">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A$1:$H$3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946871-43D6-4F95-93B2-649BF727B8FF}" name="PivotTable22" cacheId="1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losing Stock"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A$1:$H$3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F782D81-A68B-44AD-81FA-5E3C9B244EF9}" name="PivotTable23" cacheId="1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Budget" fld="1" baseField="0" baseItem="0"/>
    <dataField name="Sum of Expense Amount"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04FD9E-B774-42D2-A07E-1D4B79759430}" name="PivotTable24" cacheId="13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Expense Amount" fld="1" baseField="0" baseItem="0"/>
    <dataField name="Sum of Budget"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89CFC17-F4AF-413C-96FC-36BB73BBCC29}" name="PivotTable25" cacheId="13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Expense Amount"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5D58A15-5057-46C2-8CB7-4ABD5D438C68}" name="PivotTable26" cacheId="13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Expense Amount"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DC95836-2951-4E1F-A830-B9FF03688839}" name="PivotTable27" cacheId="13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Budget" fld="1" baseField="0" baseItem="0"/>
    <dataField name="Sum of Expense Am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39B1A2E-F4C5-4D15-B22F-5F11BD35C52C}" name="PivotTable28" cacheId="13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Budget" fld="1" baseField="0" baseItem="0"/>
    <dataField name="Sum of Expense Amount"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530F4AE-E792-4795-A96E-FF3997576EC8}" name="PivotTable29" cacheId="130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Expense Amount"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ing!$A$1:$F$3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7E649B9-C8DE-4255-94CA-E503FC3E9AC6}" name="PivotTable30" cacheId="13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Order ID" fld="2"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AC2300C-7FF5-4B1B-A395-D6F49907D463}" name="PivotTable31" cacheId="1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Delivery Duration (Days)" fld="1" subtotal="average" baseField="0" baseItem="0" numFmtId="1"/>
  </dataFields>
  <formats count="1">
    <format dxfId="1">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Duration (Days)"/>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5E155C9-AD27-4CBF-9795-4EA250285290}" name="PivotTable32" cacheId="1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 dataField="1" subtotalTop="0" showAll="0" defaultSubtotal="0"/>
  </pivotFields>
  <rowFields count="2">
    <field x="1"/>
    <field x="0"/>
  </rowFields>
  <rowItems count="11">
    <i>
      <x/>
    </i>
    <i>
      <x v="1"/>
    </i>
    <i>
      <x v="2"/>
    </i>
    <i>
      <x v="3"/>
    </i>
    <i>
      <x v="4"/>
    </i>
    <i>
      <x v="5"/>
    </i>
    <i>
      <x v="6"/>
    </i>
    <i>
      <x v="7"/>
    </i>
    <i>
      <x v="8"/>
    </i>
    <i>
      <x v="9"/>
    </i>
    <i t="grand">
      <x/>
    </i>
  </rowItems>
  <colFields count="1">
    <field x="-2"/>
  </colFields>
  <colItems count="2">
    <i>
      <x/>
    </i>
    <i i="1">
      <x v="1"/>
    </i>
  </colItems>
  <dataFields count="2">
    <dataField name="Count of Order ID" fld="2" subtotal="count" baseField="0" baseItem="0"/>
    <dataField name="Sum of Order Value" fld="3"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5"/>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108FA88-87D0-45DF-9938-27F60EFC6EDB}" name="PivotTable33" cacheId="1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43" name="[Range 4].[Delivery Status].&amp;[Delayed]" cap="Delayed"/>
  </pageFields>
  <dataFields count="1">
    <dataField name="Count of Order ID" fld="2"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4].[Delivery Status].&amp;[Delayed]"/>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DAD721F-7F6C-4374-A144-182E440309E1}" name="PivotTable34" cacheId="13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4"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Order ID" fld="1" subtotal="count" baseField="0" baseItem="0"/>
    <dataField name="Sum of Order Valu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FF96A97-34D0-45D1-8441-5F07E862BEEB}" name="PivotTable33" cacheId="13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43" name="[Range 4].[Delivery Status].&amp;[Delayed]" cap="Delayed"/>
  </pageFields>
  <dataFields count="1">
    <dataField name="Count of Order ID" fld="2"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4].[Delivery Status].&amp;[Delayed]"/>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5839BA0-B613-45DF-B2FB-E98E9C5AF46B}" name="PivotTable35" cacheId="1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Delivery Duration (Days)" fld="1" subtotal="average" baseField="0" baseItem="0" numFmtId="1"/>
  </dataFields>
  <formats count="1">
    <format dxfId="0">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Duration (Days)"/>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BF0B80B-DF80-4545-846E-2EE839835F1F}" name="PivotTable36" cacheId="1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 I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Orders!$A$1:$H$3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BB93C6-D3DB-4B27-BC7E-FDC9CD718FD6}" sourceName="[Range].[Region]">
  <pivotTables>
    <pivotTable tabId="14" name="PivotTable8"/>
  </pivotTables>
  <data>
    <olap pivotCacheId="1167529198">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EBF632D-A844-4E32-8F7D-E61BF0E669E3}" sourceName="[Range].[Product]">
  <pivotTables>
    <pivotTable tabId="14" name="PivotTable8"/>
  </pivotTables>
  <data>
    <olap pivotCacheId="1167529198">
      <levels count="2">
        <level uniqueName="[Range].[Product].[(All)]" sourceCaption="(All)" count="0"/>
        <level uniqueName="[Range].[Product].[Product]" sourceCaption="Product" count="5">
          <ranges>
            <range startItem="0">
              <i n="[Range].[Product].&amp;[Keyboard]" c="Keyboard"/>
              <i n="[Range].[Product].&amp;[Laptop]" c="Laptop"/>
              <i n="[Range].[Product].&amp;[Monitor]" c="Monitor"/>
              <i n="[Range].[Product].&amp;[Phone]" c="Phone"/>
              <i n="[Range].[Product].&amp;[Tablet]" c="Tablet"/>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3FB4C90B-C205-45FF-9CDC-618F7C3FC1FF}" sourceName="[Range 2].[Warehouse]">
  <pivotTables>
    <pivotTable tabId="30" name="PivotTable22"/>
  </pivotTables>
  <data>
    <olap pivotCacheId="2119843477">
      <levels count="2">
        <level uniqueName="[Range 2].[Warehouse].[(All)]" sourceCaption="(All)" count="0"/>
        <level uniqueName="[Range 2].[Warehouse].[Warehouse]" sourceCaption="Warehouse" count="3">
          <ranges>
            <range startItem="0">
              <i n="[Range 2].[Warehouse].&amp;[W1]" c="W1"/>
              <i n="[Range 2].[Warehouse].&amp;[W2]" c="W2"/>
              <i n="[Range 2].[Warehouse].&amp;[W3]" c="W3"/>
            </range>
          </ranges>
        </level>
      </levels>
      <selections count="1">
        <selection n="[Range 2].[Warehous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697E072-310A-4C78-BA59-04DDDC501717}" sourceName="[Range 4].[Delivery Status]">
  <pivotTables>
    <pivotTable tabId="47" name="PivotTable36"/>
  </pivotTables>
  <data>
    <olap pivotCacheId="1373505875">
      <levels count="2">
        <level uniqueName="[Range 4].[Delivery Status].[(All)]" sourceCaption="(All)" count="0"/>
        <level uniqueName="[Range 4].[Delivery Status].[Delivery Status]" sourceCaption="Delivery Status" count="2">
          <ranges>
            <range startItem="0">
              <i n="[Range 4].[Delivery Status].&amp;[Delayed]" c="Delayed"/>
              <i n="[Range 4].[Delivery Status].&amp;[On Time]" c="On Time"/>
            </range>
          </ranges>
        </level>
      </levels>
      <selections count="1">
        <selection n="[Range 4].[Delivery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F13513B-7BB8-4999-9904-D72BF2096FF5}" sourceName="[Range 4].[Product]">
  <pivotTables>
    <pivotTable tabId="47" name="PivotTable36"/>
  </pivotTables>
  <data>
    <olap pivotCacheId="1373505875">
      <levels count="2">
        <level uniqueName="[Range 4].[Product].[(All)]" sourceCaption="(All)" count="0"/>
        <level uniqueName="[Range 4].[Product].[Product]" sourceCaption="Product" count="4">
          <ranges>
            <range startItem="0">
              <i n="[Range 4].[Product].&amp;[Access Point]" c="Access Point"/>
              <i n="[Range 4].[Product].&amp;[Modem]" c="Modem"/>
              <i n="[Range 4].[Product].&amp;[Router]" c="Router"/>
              <i n="[Range 4].[Product].&amp;[Switch]" c="Switch"/>
            </range>
          </ranges>
        </level>
      </levels>
      <selections count="1">
        <selection n="[Range 4].[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394B09-8A0E-4288-A20E-203CF09728CB}" cache="Slicer_Region" caption="Region" level="1" rowHeight="241300"/>
  <slicer name="Product" xr10:uid="{0CE91A38-759A-40B6-B27E-E091414111DA}"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454F7597-1420-4679-B548-742C4026FB00}" cache="Slicer_Warehouse" caption="Warehous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F0B03348-1CE1-46F2-AC6A-20704D2BFC19}" cache="Slicer_Delivery_Status" caption="Delivery Status" level="1" rowHeight="241300"/>
  <slicer name="Product 1" xr10:uid="{47F3CFB0-3C66-4580-A29B-5C1F31942E78}" cache="Slicer_Product1" caption="Produc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Join_Date" xr10:uid="{C051C428-1B1F-45EE-99B5-0C7E79065C4F}" sourceName="[Range 1].[Join Date]">
  <pivotTables>
    <pivotTable tabId="22" name="PivotTable15"/>
  </pivotTables>
  <state minimalRefreshVersion="6" lastRefreshVersion="6" pivotCacheId="955606072" filterType="unknown">
    <bounds startDate="2020-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6ABEAC1-DC91-4B75-A1B6-D40B712B3FA6}" sourceName="[Range 3].[Date]">
  <pivotTables>
    <pivotTable tabId="38" name="PivotTable29"/>
  </pivotTables>
  <state minimalRefreshVersion="6" lastRefreshVersion="6" pivotCacheId="184414195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E70F0FD5-307C-4B32-84DF-7E923990EAC2}" cache="Timeline_Join_Date" caption="Join Date" level="2" selectionLevel="2" scrollPosition="2023-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1529922-A446-480E-9C8B-2E771227F30C}" cache="Timeline_Date" caption="Date" level="2" selectionLevel="2" scrollPosition="2023-05-19T00:00:00"/>
</timeline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8.xml"/></Relationships>
</file>

<file path=xl/worksheets/_rels/sheet2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9.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4.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33.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11.xml"/><Relationship Id="rId1" Type="http://schemas.openxmlformats.org/officeDocument/2006/relationships/pivotTable" Target="../pivotTables/pivotTable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38.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31.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32.xml"/></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_rels/sheet4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5.xml"/><Relationship Id="rId1"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workbookViewId="0">
      <selection activeCell="H10" sqref="A1:H31"/>
    </sheetView>
  </sheetViews>
  <sheetFormatPr defaultRowHeight="14.5" x14ac:dyDescent="0.35"/>
  <cols>
    <col min="1" max="1" width="17.81640625" bestFit="1" customWidth="1"/>
    <col min="2" max="2" width="6.453125" bestFit="1" customWidth="1"/>
    <col min="3" max="3" width="10.81640625" bestFit="1" customWidth="1"/>
    <col min="5" max="5" width="9.1796875" bestFit="1" customWidth="1"/>
    <col min="6" max="6" width="8.90625" bestFit="1" customWidth="1"/>
    <col min="7" max="7" width="8" bestFit="1" customWidth="1"/>
    <col min="8" max="8" width="6.81640625" bestFit="1" customWidth="1"/>
  </cols>
  <sheetData>
    <row r="1" spans="1:8" x14ac:dyDescent="0.35">
      <c r="A1" s="1" t="s">
        <v>0</v>
      </c>
      <c r="B1" s="1" t="s">
        <v>1</v>
      </c>
      <c r="C1" s="1" t="s">
        <v>2</v>
      </c>
      <c r="D1" s="1" t="s">
        <v>3</v>
      </c>
      <c r="E1" s="1" t="s">
        <v>4</v>
      </c>
      <c r="F1" s="1" t="s">
        <v>5</v>
      </c>
      <c r="G1" s="1" t="s">
        <v>6</v>
      </c>
      <c r="H1" s="1" t="s">
        <v>7</v>
      </c>
    </row>
    <row r="2" spans="1:8" x14ac:dyDescent="0.35">
      <c r="A2" s="2">
        <v>45019</v>
      </c>
      <c r="B2" t="s">
        <v>8</v>
      </c>
      <c r="C2" t="s">
        <v>9</v>
      </c>
      <c r="D2" t="s">
        <v>10</v>
      </c>
      <c r="E2">
        <v>12</v>
      </c>
      <c r="F2">
        <v>809</v>
      </c>
      <c r="G2">
        <v>9708</v>
      </c>
      <c r="H2">
        <v>1941.6</v>
      </c>
    </row>
    <row r="3" spans="1:8" x14ac:dyDescent="0.35">
      <c r="A3" s="2">
        <v>45109</v>
      </c>
      <c r="B3" t="s">
        <v>8</v>
      </c>
      <c r="C3" t="s">
        <v>11</v>
      </c>
      <c r="D3" t="s">
        <v>10</v>
      </c>
      <c r="E3">
        <v>10</v>
      </c>
      <c r="F3">
        <v>418</v>
      </c>
      <c r="G3">
        <v>4180</v>
      </c>
      <c r="H3">
        <v>836</v>
      </c>
    </row>
    <row r="4" spans="1:8" x14ac:dyDescent="0.35">
      <c r="A4" s="2">
        <v>45267</v>
      </c>
      <c r="B4" t="s">
        <v>12</v>
      </c>
      <c r="C4" t="s">
        <v>13</v>
      </c>
      <c r="D4" t="s">
        <v>14</v>
      </c>
      <c r="E4">
        <v>12</v>
      </c>
      <c r="F4">
        <v>528</v>
      </c>
      <c r="G4">
        <v>6336</v>
      </c>
      <c r="H4">
        <v>1267.2</v>
      </c>
    </row>
    <row r="5" spans="1:8" x14ac:dyDescent="0.35">
      <c r="A5" s="2">
        <v>44998</v>
      </c>
      <c r="B5" t="s">
        <v>15</v>
      </c>
      <c r="C5" t="s">
        <v>16</v>
      </c>
      <c r="D5" t="s">
        <v>17</v>
      </c>
      <c r="E5">
        <v>10</v>
      </c>
      <c r="F5">
        <v>761</v>
      </c>
      <c r="G5">
        <v>7610</v>
      </c>
      <c r="H5">
        <v>1522</v>
      </c>
    </row>
    <row r="6" spans="1:8" x14ac:dyDescent="0.35">
      <c r="A6" s="2">
        <v>45149</v>
      </c>
      <c r="B6" t="s">
        <v>12</v>
      </c>
      <c r="C6" t="s">
        <v>13</v>
      </c>
      <c r="D6" t="s">
        <v>14</v>
      </c>
      <c r="E6">
        <v>20</v>
      </c>
      <c r="F6">
        <v>216</v>
      </c>
      <c r="G6">
        <v>4320</v>
      </c>
      <c r="H6">
        <v>864</v>
      </c>
    </row>
    <row r="7" spans="1:8" x14ac:dyDescent="0.35">
      <c r="A7" s="2">
        <v>45249</v>
      </c>
      <c r="B7" t="s">
        <v>12</v>
      </c>
      <c r="C7" t="s">
        <v>13</v>
      </c>
      <c r="D7" t="s">
        <v>18</v>
      </c>
      <c r="E7">
        <v>20</v>
      </c>
      <c r="F7">
        <v>975</v>
      </c>
      <c r="G7">
        <v>19500</v>
      </c>
      <c r="H7">
        <v>3900</v>
      </c>
    </row>
    <row r="8" spans="1:8" x14ac:dyDescent="0.35">
      <c r="A8" s="2">
        <v>45024</v>
      </c>
      <c r="B8" t="s">
        <v>15</v>
      </c>
      <c r="C8" t="s">
        <v>11</v>
      </c>
      <c r="D8" t="s">
        <v>10</v>
      </c>
      <c r="E8">
        <v>14</v>
      </c>
      <c r="F8">
        <v>779</v>
      </c>
      <c r="G8">
        <v>10906</v>
      </c>
      <c r="H8">
        <v>2181.1999999999998</v>
      </c>
    </row>
    <row r="9" spans="1:8" x14ac:dyDescent="0.35">
      <c r="A9" s="2">
        <v>45019</v>
      </c>
      <c r="B9" t="s">
        <v>8</v>
      </c>
      <c r="C9" t="s">
        <v>9</v>
      </c>
      <c r="D9" t="s">
        <v>14</v>
      </c>
      <c r="E9">
        <v>17</v>
      </c>
      <c r="F9">
        <v>637</v>
      </c>
      <c r="G9">
        <v>10829</v>
      </c>
      <c r="H9">
        <v>2165.8000000000002</v>
      </c>
    </row>
    <row r="10" spans="1:8" x14ac:dyDescent="0.35">
      <c r="A10" s="2">
        <v>45008</v>
      </c>
      <c r="B10" t="s">
        <v>15</v>
      </c>
      <c r="C10" t="s">
        <v>13</v>
      </c>
      <c r="D10" t="s">
        <v>18</v>
      </c>
      <c r="E10">
        <v>19</v>
      </c>
      <c r="F10">
        <v>877</v>
      </c>
      <c r="G10">
        <v>16663</v>
      </c>
      <c r="H10">
        <v>3332.6</v>
      </c>
    </row>
    <row r="11" spans="1:8" x14ac:dyDescent="0.35">
      <c r="A11" s="2">
        <v>45139</v>
      </c>
      <c r="B11" t="s">
        <v>19</v>
      </c>
      <c r="C11" t="s">
        <v>11</v>
      </c>
      <c r="D11" t="s">
        <v>10</v>
      </c>
      <c r="E11">
        <v>6</v>
      </c>
      <c r="F11">
        <v>579</v>
      </c>
      <c r="G11">
        <v>3474</v>
      </c>
      <c r="H11">
        <v>694.80000000000007</v>
      </c>
    </row>
    <row r="12" spans="1:8" x14ac:dyDescent="0.35">
      <c r="A12" s="2">
        <v>45106</v>
      </c>
      <c r="B12" t="s">
        <v>15</v>
      </c>
      <c r="C12" t="s">
        <v>16</v>
      </c>
      <c r="D12" t="s">
        <v>18</v>
      </c>
      <c r="E12">
        <v>4</v>
      </c>
      <c r="F12">
        <v>945</v>
      </c>
      <c r="G12">
        <v>3780</v>
      </c>
      <c r="H12">
        <v>756</v>
      </c>
    </row>
    <row r="13" spans="1:8" x14ac:dyDescent="0.35">
      <c r="A13" s="2">
        <v>44969</v>
      </c>
      <c r="B13" t="s">
        <v>8</v>
      </c>
      <c r="C13" t="s">
        <v>11</v>
      </c>
      <c r="D13" t="s">
        <v>18</v>
      </c>
      <c r="E13">
        <v>7</v>
      </c>
      <c r="F13">
        <v>312</v>
      </c>
      <c r="G13">
        <v>2184</v>
      </c>
      <c r="H13">
        <v>436.8</v>
      </c>
    </row>
    <row r="14" spans="1:8" x14ac:dyDescent="0.35">
      <c r="A14" s="2">
        <v>45155</v>
      </c>
      <c r="B14" t="s">
        <v>19</v>
      </c>
      <c r="C14" t="s">
        <v>20</v>
      </c>
      <c r="D14" t="s">
        <v>14</v>
      </c>
      <c r="E14">
        <v>20</v>
      </c>
      <c r="F14">
        <v>541</v>
      </c>
      <c r="G14">
        <v>10820</v>
      </c>
      <c r="H14">
        <v>2164</v>
      </c>
    </row>
    <row r="15" spans="1:8" x14ac:dyDescent="0.35">
      <c r="A15" s="2">
        <v>45116</v>
      </c>
      <c r="B15" t="s">
        <v>19</v>
      </c>
      <c r="C15" t="s">
        <v>9</v>
      </c>
      <c r="D15" t="s">
        <v>21</v>
      </c>
      <c r="E15">
        <v>20</v>
      </c>
      <c r="F15">
        <v>566</v>
      </c>
      <c r="G15">
        <v>11320</v>
      </c>
      <c r="H15">
        <v>2264</v>
      </c>
    </row>
    <row r="16" spans="1:8" x14ac:dyDescent="0.35">
      <c r="A16" s="2">
        <v>44954</v>
      </c>
      <c r="B16" t="s">
        <v>15</v>
      </c>
      <c r="C16" t="s">
        <v>9</v>
      </c>
      <c r="D16" t="s">
        <v>21</v>
      </c>
      <c r="E16">
        <v>1</v>
      </c>
      <c r="F16">
        <v>995</v>
      </c>
      <c r="G16">
        <v>995</v>
      </c>
      <c r="H16">
        <v>199</v>
      </c>
    </row>
    <row r="17" spans="1:8" x14ac:dyDescent="0.35">
      <c r="A17" s="2">
        <v>44972</v>
      </c>
      <c r="B17" t="s">
        <v>12</v>
      </c>
      <c r="C17" t="s">
        <v>9</v>
      </c>
      <c r="D17" t="s">
        <v>21</v>
      </c>
      <c r="E17">
        <v>20</v>
      </c>
      <c r="F17">
        <v>877</v>
      </c>
      <c r="G17">
        <v>17540</v>
      </c>
      <c r="H17">
        <v>3508</v>
      </c>
    </row>
    <row r="18" spans="1:8" x14ac:dyDescent="0.35">
      <c r="A18" s="2">
        <v>45049</v>
      </c>
      <c r="B18" t="s">
        <v>15</v>
      </c>
      <c r="C18" t="s">
        <v>11</v>
      </c>
      <c r="D18" t="s">
        <v>10</v>
      </c>
      <c r="E18">
        <v>4</v>
      </c>
      <c r="F18">
        <v>545</v>
      </c>
      <c r="G18">
        <v>2180</v>
      </c>
      <c r="H18">
        <v>436</v>
      </c>
    </row>
    <row r="19" spans="1:8" x14ac:dyDescent="0.35">
      <c r="A19" s="2">
        <v>45116</v>
      </c>
      <c r="B19" t="s">
        <v>19</v>
      </c>
      <c r="C19" t="s">
        <v>20</v>
      </c>
      <c r="D19" t="s">
        <v>18</v>
      </c>
      <c r="E19">
        <v>1</v>
      </c>
      <c r="F19">
        <v>970</v>
      </c>
      <c r="G19">
        <v>970</v>
      </c>
      <c r="H19">
        <v>194</v>
      </c>
    </row>
    <row r="20" spans="1:8" x14ac:dyDescent="0.35">
      <c r="A20" s="2">
        <v>45202</v>
      </c>
      <c r="B20" t="s">
        <v>8</v>
      </c>
      <c r="C20" t="s">
        <v>16</v>
      </c>
      <c r="D20" t="s">
        <v>17</v>
      </c>
      <c r="E20">
        <v>10</v>
      </c>
      <c r="F20">
        <v>267</v>
      </c>
      <c r="G20">
        <v>2670</v>
      </c>
      <c r="H20">
        <v>534</v>
      </c>
    </row>
    <row r="21" spans="1:8" x14ac:dyDescent="0.35">
      <c r="A21" s="2">
        <v>45170</v>
      </c>
      <c r="B21" t="s">
        <v>15</v>
      </c>
      <c r="C21" t="s">
        <v>13</v>
      </c>
      <c r="D21" t="s">
        <v>21</v>
      </c>
      <c r="E21">
        <v>17</v>
      </c>
      <c r="F21">
        <v>318</v>
      </c>
      <c r="G21">
        <v>5406</v>
      </c>
      <c r="H21">
        <v>1081.2</v>
      </c>
    </row>
    <row r="22" spans="1:8" x14ac:dyDescent="0.35">
      <c r="A22" s="2">
        <v>45017</v>
      </c>
      <c r="B22" t="s">
        <v>8</v>
      </c>
      <c r="C22" t="s">
        <v>16</v>
      </c>
      <c r="D22" t="s">
        <v>10</v>
      </c>
      <c r="E22">
        <v>7</v>
      </c>
      <c r="F22">
        <v>164</v>
      </c>
      <c r="G22">
        <v>1148</v>
      </c>
      <c r="H22">
        <v>229.6</v>
      </c>
    </row>
    <row r="23" spans="1:8" x14ac:dyDescent="0.35">
      <c r="A23" s="2">
        <v>45177</v>
      </c>
      <c r="B23" t="s">
        <v>12</v>
      </c>
      <c r="C23" t="s">
        <v>11</v>
      </c>
      <c r="D23" t="s">
        <v>21</v>
      </c>
      <c r="E23">
        <v>16</v>
      </c>
      <c r="F23">
        <v>617</v>
      </c>
      <c r="G23">
        <v>9872</v>
      </c>
      <c r="H23">
        <v>1974.4</v>
      </c>
    </row>
    <row r="24" spans="1:8" x14ac:dyDescent="0.35">
      <c r="A24" s="2">
        <v>45046</v>
      </c>
      <c r="B24" t="s">
        <v>12</v>
      </c>
      <c r="C24" t="s">
        <v>13</v>
      </c>
      <c r="D24" t="s">
        <v>10</v>
      </c>
      <c r="E24">
        <v>13</v>
      </c>
      <c r="F24">
        <v>281</v>
      </c>
      <c r="G24">
        <v>3653</v>
      </c>
      <c r="H24">
        <v>730.6</v>
      </c>
    </row>
    <row r="25" spans="1:8" x14ac:dyDescent="0.35">
      <c r="A25" s="2">
        <v>44952</v>
      </c>
      <c r="B25" t="s">
        <v>12</v>
      </c>
      <c r="C25" t="s">
        <v>13</v>
      </c>
      <c r="D25" t="s">
        <v>21</v>
      </c>
      <c r="E25">
        <v>13</v>
      </c>
      <c r="F25">
        <v>895</v>
      </c>
      <c r="G25">
        <v>11635</v>
      </c>
      <c r="H25">
        <v>2327</v>
      </c>
    </row>
    <row r="26" spans="1:8" x14ac:dyDescent="0.35">
      <c r="A26" s="2">
        <v>44963</v>
      </c>
      <c r="B26" t="s">
        <v>19</v>
      </c>
      <c r="C26" t="s">
        <v>13</v>
      </c>
      <c r="D26" t="s">
        <v>10</v>
      </c>
      <c r="E26">
        <v>10</v>
      </c>
      <c r="F26">
        <v>457</v>
      </c>
      <c r="G26">
        <v>4570</v>
      </c>
      <c r="H26">
        <v>914</v>
      </c>
    </row>
    <row r="27" spans="1:8" x14ac:dyDescent="0.35">
      <c r="A27" s="2">
        <v>45178</v>
      </c>
      <c r="B27" t="s">
        <v>12</v>
      </c>
      <c r="C27" t="s">
        <v>9</v>
      </c>
      <c r="D27" t="s">
        <v>17</v>
      </c>
      <c r="E27">
        <v>8</v>
      </c>
      <c r="F27">
        <v>945</v>
      </c>
      <c r="G27">
        <v>7560</v>
      </c>
      <c r="H27">
        <v>1512</v>
      </c>
    </row>
    <row r="28" spans="1:8" x14ac:dyDescent="0.35">
      <c r="A28" s="2">
        <v>44970</v>
      </c>
      <c r="B28" t="s">
        <v>12</v>
      </c>
      <c r="C28" t="s">
        <v>13</v>
      </c>
      <c r="D28" t="s">
        <v>18</v>
      </c>
      <c r="E28">
        <v>9</v>
      </c>
      <c r="F28">
        <v>873</v>
      </c>
      <c r="G28">
        <v>7857</v>
      </c>
      <c r="H28">
        <v>1571.4</v>
      </c>
    </row>
    <row r="29" spans="1:8" x14ac:dyDescent="0.35">
      <c r="A29" s="2">
        <v>45282</v>
      </c>
      <c r="B29" t="s">
        <v>19</v>
      </c>
      <c r="C29" t="s">
        <v>13</v>
      </c>
      <c r="D29" t="s">
        <v>10</v>
      </c>
      <c r="E29">
        <v>17</v>
      </c>
      <c r="F29">
        <v>828</v>
      </c>
      <c r="G29">
        <v>14076</v>
      </c>
      <c r="H29">
        <v>2815.2</v>
      </c>
    </row>
    <row r="30" spans="1:8" x14ac:dyDescent="0.35">
      <c r="A30" s="2">
        <v>45247</v>
      </c>
      <c r="B30" t="s">
        <v>15</v>
      </c>
      <c r="C30" t="s">
        <v>13</v>
      </c>
      <c r="D30" t="s">
        <v>18</v>
      </c>
      <c r="E30">
        <v>16</v>
      </c>
      <c r="F30">
        <v>515</v>
      </c>
      <c r="G30">
        <v>8240</v>
      </c>
      <c r="H30">
        <v>1648</v>
      </c>
    </row>
    <row r="31" spans="1:8" x14ac:dyDescent="0.35">
      <c r="A31" s="2">
        <v>45177</v>
      </c>
      <c r="B31" t="s">
        <v>12</v>
      </c>
      <c r="C31" t="s">
        <v>13</v>
      </c>
      <c r="D31" t="s">
        <v>14</v>
      </c>
      <c r="E31">
        <v>2</v>
      </c>
      <c r="F31">
        <v>918</v>
      </c>
      <c r="G31">
        <v>1836</v>
      </c>
      <c r="H31">
        <v>367.2</v>
      </c>
    </row>
  </sheetData>
  <autoFilter ref="A1:H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election activeCell="E1" sqref="A1:H31"/>
    </sheetView>
  </sheetViews>
  <sheetFormatPr defaultRowHeight="14.5" x14ac:dyDescent="0.35"/>
  <cols>
    <col min="1" max="1" width="11.26953125" bestFit="1" customWidth="1"/>
    <col min="2" max="2" width="11.08984375" bestFit="1" customWidth="1"/>
    <col min="3" max="3" width="7" bestFit="1" customWidth="1"/>
    <col min="4" max="4" width="3.90625" bestFit="1" customWidth="1"/>
    <col min="5" max="6" width="17.81640625" bestFit="1" customWidth="1"/>
    <col min="7" max="7" width="8.26953125" bestFit="1" customWidth="1"/>
    <col min="8" max="8" width="6.81640625" bestFit="1" customWidth="1"/>
  </cols>
  <sheetData>
    <row r="1" spans="1:8" x14ac:dyDescent="0.35">
      <c r="A1" s="1" t="s">
        <v>22</v>
      </c>
      <c r="B1" s="1" t="s">
        <v>23</v>
      </c>
      <c r="C1" s="1" t="s">
        <v>24</v>
      </c>
      <c r="D1" s="1" t="s">
        <v>25</v>
      </c>
      <c r="E1" s="1" t="s">
        <v>26</v>
      </c>
      <c r="F1" s="1" t="s">
        <v>27</v>
      </c>
      <c r="G1" s="1" t="s">
        <v>28</v>
      </c>
      <c r="H1" s="1" t="s">
        <v>29</v>
      </c>
    </row>
    <row r="2" spans="1:8" x14ac:dyDescent="0.35">
      <c r="A2" t="s">
        <v>30</v>
      </c>
      <c r="B2" t="s">
        <v>31</v>
      </c>
      <c r="C2" t="s">
        <v>32</v>
      </c>
      <c r="D2">
        <v>48</v>
      </c>
      <c r="E2" s="2">
        <v>44956</v>
      </c>
      <c r="F2" s="2">
        <v>45442</v>
      </c>
      <c r="G2" t="s">
        <v>33</v>
      </c>
      <c r="H2">
        <v>57360</v>
      </c>
    </row>
    <row r="3" spans="1:8" x14ac:dyDescent="0.35">
      <c r="A3" t="s">
        <v>34</v>
      </c>
      <c r="B3" t="s">
        <v>35</v>
      </c>
      <c r="C3" t="s">
        <v>32</v>
      </c>
      <c r="D3">
        <v>44</v>
      </c>
      <c r="E3" s="2">
        <v>44961</v>
      </c>
      <c r="F3" s="2">
        <v>45625</v>
      </c>
      <c r="G3" t="s">
        <v>33</v>
      </c>
      <c r="H3">
        <v>39014</v>
      </c>
    </row>
    <row r="4" spans="1:8" x14ac:dyDescent="0.35">
      <c r="A4" t="s">
        <v>36</v>
      </c>
      <c r="B4" t="s">
        <v>35</v>
      </c>
      <c r="C4" t="s">
        <v>37</v>
      </c>
      <c r="D4">
        <v>44</v>
      </c>
      <c r="E4" s="2">
        <v>44534</v>
      </c>
      <c r="G4" t="s">
        <v>38</v>
      </c>
      <c r="H4">
        <v>30083</v>
      </c>
    </row>
    <row r="5" spans="1:8" x14ac:dyDescent="0.35">
      <c r="A5" t="s">
        <v>39</v>
      </c>
      <c r="B5" t="s">
        <v>31</v>
      </c>
      <c r="C5" t="s">
        <v>37</v>
      </c>
      <c r="D5">
        <v>23</v>
      </c>
      <c r="E5" s="2">
        <v>44320</v>
      </c>
      <c r="F5" s="2">
        <v>45176</v>
      </c>
      <c r="G5" t="s">
        <v>33</v>
      </c>
      <c r="H5">
        <v>71032</v>
      </c>
    </row>
    <row r="6" spans="1:8" x14ac:dyDescent="0.35">
      <c r="A6" t="s">
        <v>40</v>
      </c>
      <c r="B6" t="s">
        <v>35</v>
      </c>
      <c r="C6" t="s">
        <v>32</v>
      </c>
      <c r="D6">
        <v>48</v>
      </c>
      <c r="E6" s="2">
        <v>44648</v>
      </c>
      <c r="G6" t="s">
        <v>38</v>
      </c>
      <c r="H6">
        <v>46427</v>
      </c>
    </row>
    <row r="7" spans="1:8" x14ac:dyDescent="0.35">
      <c r="A7" t="s">
        <v>41</v>
      </c>
      <c r="B7" t="s">
        <v>35</v>
      </c>
      <c r="C7" t="s">
        <v>32</v>
      </c>
      <c r="D7">
        <v>36</v>
      </c>
      <c r="E7" s="2">
        <v>45000</v>
      </c>
      <c r="F7" s="2">
        <v>45614</v>
      </c>
      <c r="G7" t="s">
        <v>33</v>
      </c>
      <c r="H7">
        <v>104801</v>
      </c>
    </row>
    <row r="8" spans="1:8" x14ac:dyDescent="0.35">
      <c r="A8" t="s">
        <v>42</v>
      </c>
      <c r="B8" t="s">
        <v>43</v>
      </c>
      <c r="C8" t="s">
        <v>37</v>
      </c>
      <c r="D8">
        <v>31</v>
      </c>
      <c r="E8" s="2">
        <v>45003</v>
      </c>
      <c r="F8" s="2">
        <v>45668</v>
      </c>
      <c r="G8" t="s">
        <v>33</v>
      </c>
      <c r="H8">
        <v>63913</v>
      </c>
    </row>
    <row r="9" spans="1:8" x14ac:dyDescent="0.35">
      <c r="A9" t="s">
        <v>44</v>
      </c>
      <c r="B9" t="s">
        <v>31</v>
      </c>
      <c r="C9" t="s">
        <v>37</v>
      </c>
      <c r="D9">
        <v>39</v>
      </c>
      <c r="E9" s="2">
        <v>43867</v>
      </c>
      <c r="G9" t="s">
        <v>38</v>
      </c>
      <c r="H9">
        <v>79964</v>
      </c>
    </row>
    <row r="10" spans="1:8" x14ac:dyDescent="0.35">
      <c r="A10" t="s">
        <v>45</v>
      </c>
      <c r="B10" t="s">
        <v>46</v>
      </c>
      <c r="C10" t="s">
        <v>37</v>
      </c>
      <c r="D10">
        <v>41</v>
      </c>
      <c r="E10" s="2">
        <v>44395</v>
      </c>
      <c r="F10" s="2">
        <v>45042</v>
      </c>
      <c r="G10" t="s">
        <v>33</v>
      </c>
      <c r="H10">
        <v>71187</v>
      </c>
    </row>
    <row r="11" spans="1:8" x14ac:dyDescent="0.35">
      <c r="A11" t="s">
        <v>47</v>
      </c>
      <c r="B11" t="s">
        <v>43</v>
      </c>
      <c r="C11" t="s">
        <v>37</v>
      </c>
      <c r="D11">
        <v>33</v>
      </c>
      <c r="E11" s="2">
        <v>44160</v>
      </c>
      <c r="F11" s="2">
        <v>44520</v>
      </c>
      <c r="G11" t="s">
        <v>33</v>
      </c>
      <c r="H11">
        <v>85778</v>
      </c>
    </row>
    <row r="12" spans="1:8" x14ac:dyDescent="0.35">
      <c r="A12" t="s">
        <v>48</v>
      </c>
      <c r="B12" t="s">
        <v>49</v>
      </c>
      <c r="C12" t="s">
        <v>32</v>
      </c>
      <c r="D12">
        <v>44</v>
      </c>
      <c r="E12" s="2">
        <v>45279</v>
      </c>
      <c r="F12" s="2">
        <v>45887</v>
      </c>
      <c r="G12" t="s">
        <v>33</v>
      </c>
      <c r="H12">
        <v>38642</v>
      </c>
    </row>
    <row r="13" spans="1:8" x14ac:dyDescent="0.35">
      <c r="A13" t="s">
        <v>50</v>
      </c>
      <c r="B13" t="s">
        <v>43</v>
      </c>
      <c r="C13" t="s">
        <v>37</v>
      </c>
      <c r="D13">
        <v>39</v>
      </c>
      <c r="E13" s="2">
        <v>44960</v>
      </c>
      <c r="F13" s="2">
        <v>45491</v>
      </c>
      <c r="G13" t="s">
        <v>33</v>
      </c>
      <c r="H13">
        <v>52972</v>
      </c>
    </row>
    <row r="14" spans="1:8" x14ac:dyDescent="0.35">
      <c r="A14" t="s">
        <v>51</v>
      </c>
      <c r="B14" t="s">
        <v>49</v>
      </c>
      <c r="C14" t="s">
        <v>37</v>
      </c>
      <c r="D14">
        <v>49</v>
      </c>
      <c r="E14" s="2">
        <v>44227</v>
      </c>
      <c r="F14" s="2">
        <v>44318</v>
      </c>
      <c r="G14" t="s">
        <v>33</v>
      </c>
      <c r="H14">
        <v>105379</v>
      </c>
    </row>
    <row r="15" spans="1:8" x14ac:dyDescent="0.35">
      <c r="A15" t="s">
        <v>52</v>
      </c>
      <c r="B15" t="s">
        <v>35</v>
      </c>
      <c r="C15" t="s">
        <v>37</v>
      </c>
      <c r="D15">
        <v>34</v>
      </c>
      <c r="E15" s="2">
        <v>45119</v>
      </c>
      <c r="G15" t="s">
        <v>38</v>
      </c>
      <c r="H15">
        <v>107731</v>
      </c>
    </row>
    <row r="16" spans="1:8" x14ac:dyDescent="0.35">
      <c r="A16" t="s">
        <v>53</v>
      </c>
      <c r="B16" t="s">
        <v>35</v>
      </c>
      <c r="C16" t="s">
        <v>37</v>
      </c>
      <c r="D16">
        <v>27</v>
      </c>
      <c r="E16" s="2">
        <v>44299</v>
      </c>
      <c r="G16" t="s">
        <v>38</v>
      </c>
      <c r="H16">
        <v>32559</v>
      </c>
    </row>
    <row r="17" spans="1:8" x14ac:dyDescent="0.35">
      <c r="A17" t="s">
        <v>54</v>
      </c>
      <c r="B17" t="s">
        <v>43</v>
      </c>
      <c r="C17" t="s">
        <v>32</v>
      </c>
      <c r="D17">
        <v>44</v>
      </c>
      <c r="E17" s="2">
        <v>43882</v>
      </c>
      <c r="F17" s="2">
        <v>44477</v>
      </c>
      <c r="G17" t="s">
        <v>33</v>
      </c>
      <c r="H17">
        <v>55865</v>
      </c>
    </row>
    <row r="18" spans="1:8" x14ac:dyDescent="0.35">
      <c r="A18" t="s">
        <v>55</v>
      </c>
      <c r="B18" t="s">
        <v>43</v>
      </c>
      <c r="C18" t="s">
        <v>37</v>
      </c>
      <c r="D18">
        <v>25</v>
      </c>
      <c r="E18" s="2">
        <v>44776</v>
      </c>
      <c r="F18" s="2">
        <v>44949</v>
      </c>
      <c r="G18" t="s">
        <v>33</v>
      </c>
      <c r="H18">
        <v>98094</v>
      </c>
    </row>
    <row r="19" spans="1:8" x14ac:dyDescent="0.35">
      <c r="A19" t="s">
        <v>56</v>
      </c>
      <c r="B19" t="s">
        <v>46</v>
      </c>
      <c r="C19" t="s">
        <v>32</v>
      </c>
      <c r="D19">
        <v>33</v>
      </c>
      <c r="E19" s="2">
        <v>44436</v>
      </c>
      <c r="G19" t="s">
        <v>38</v>
      </c>
      <c r="H19">
        <v>90546</v>
      </c>
    </row>
    <row r="20" spans="1:8" x14ac:dyDescent="0.35">
      <c r="A20" t="s">
        <v>57</v>
      </c>
      <c r="B20" t="s">
        <v>46</v>
      </c>
      <c r="C20" t="s">
        <v>37</v>
      </c>
      <c r="D20">
        <v>22</v>
      </c>
      <c r="E20" s="2">
        <v>43852</v>
      </c>
      <c r="F20" s="2">
        <v>44563</v>
      </c>
      <c r="G20" t="s">
        <v>33</v>
      </c>
      <c r="H20">
        <v>34566</v>
      </c>
    </row>
    <row r="21" spans="1:8" x14ac:dyDescent="0.35">
      <c r="A21" t="s">
        <v>58</v>
      </c>
      <c r="B21" t="s">
        <v>46</v>
      </c>
      <c r="C21" t="s">
        <v>32</v>
      </c>
      <c r="D21">
        <v>24</v>
      </c>
      <c r="E21" s="2">
        <v>44129</v>
      </c>
      <c r="F21" s="2">
        <v>44545</v>
      </c>
      <c r="G21" t="s">
        <v>33</v>
      </c>
      <c r="H21">
        <v>105366</v>
      </c>
    </row>
    <row r="22" spans="1:8" x14ac:dyDescent="0.35">
      <c r="A22" t="s">
        <v>59</v>
      </c>
      <c r="B22" t="s">
        <v>31</v>
      </c>
      <c r="C22" t="s">
        <v>32</v>
      </c>
      <c r="D22">
        <v>30</v>
      </c>
      <c r="E22" s="2">
        <v>44624</v>
      </c>
      <c r="G22" t="s">
        <v>38</v>
      </c>
      <c r="H22">
        <v>63032</v>
      </c>
    </row>
    <row r="23" spans="1:8" x14ac:dyDescent="0.35">
      <c r="A23" t="s">
        <v>60</v>
      </c>
      <c r="B23" t="s">
        <v>35</v>
      </c>
      <c r="C23" t="s">
        <v>37</v>
      </c>
      <c r="D23">
        <v>29</v>
      </c>
      <c r="E23" s="2">
        <v>44464</v>
      </c>
      <c r="G23" t="s">
        <v>38</v>
      </c>
      <c r="H23">
        <v>65831</v>
      </c>
    </row>
    <row r="24" spans="1:8" x14ac:dyDescent="0.35">
      <c r="A24" t="s">
        <v>61</v>
      </c>
      <c r="B24" t="s">
        <v>46</v>
      </c>
      <c r="C24" t="s">
        <v>37</v>
      </c>
      <c r="D24">
        <v>46</v>
      </c>
      <c r="E24" s="2">
        <v>44898</v>
      </c>
      <c r="F24" s="2">
        <v>45264</v>
      </c>
      <c r="G24" t="s">
        <v>33</v>
      </c>
      <c r="H24">
        <v>34892</v>
      </c>
    </row>
    <row r="25" spans="1:8" x14ac:dyDescent="0.35">
      <c r="A25" t="s">
        <v>62</v>
      </c>
      <c r="B25" t="s">
        <v>49</v>
      </c>
      <c r="C25" t="s">
        <v>32</v>
      </c>
      <c r="D25">
        <v>31</v>
      </c>
      <c r="E25" s="2">
        <v>43884</v>
      </c>
      <c r="G25" t="s">
        <v>38</v>
      </c>
      <c r="H25">
        <v>31149</v>
      </c>
    </row>
    <row r="26" spans="1:8" x14ac:dyDescent="0.35">
      <c r="A26" t="s">
        <v>63</v>
      </c>
      <c r="B26" t="s">
        <v>43</v>
      </c>
      <c r="C26" t="s">
        <v>32</v>
      </c>
      <c r="D26">
        <v>41</v>
      </c>
      <c r="E26" s="2">
        <v>45208</v>
      </c>
      <c r="F26" s="2">
        <v>45449</v>
      </c>
      <c r="G26" t="s">
        <v>33</v>
      </c>
      <c r="H26">
        <v>42901</v>
      </c>
    </row>
    <row r="27" spans="1:8" x14ac:dyDescent="0.35">
      <c r="A27" t="s">
        <v>64</v>
      </c>
      <c r="B27" t="s">
        <v>49</v>
      </c>
      <c r="C27" t="s">
        <v>37</v>
      </c>
      <c r="D27">
        <v>41</v>
      </c>
      <c r="E27" s="2">
        <v>45147</v>
      </c>
      <c r="G27" t="s">
        <v>38</v>
      </c>
      <c r="H27">
        <v>84454</v>
      </c>
    </row>
    <row r="28" spans="1:8" x14ac:dyDescent="0.35">
      <c r="A28" t="s">
        <v>65</v>
      </c>
      <c r="B28" t="s">
        <v>49</v>
      </c>
      <c r="C28" t="s">
        <v>32</v>
      </c>
      <c r="D28">
        <v>32</v>
      </c>
      <c r="E28" s="2">
        <v>44601</v>
      </c>
      <c r="F28" s="2">
        <v>45366</v>
      </c>
      <c r="G28" t="s">
        <v>33</v>
      </c>
      <c r="H28">
        <v>57114</v>
      </c>
    </row>
    <row r="29" spans="1:8" x14ac:dyDescent="0.35">
      <c r="A29" t="s">
        <v>66</v>
      </c>
      <c r="B29" t="s">
        <v>43</v>
      </c>
      <c r="C29" t="s">
        <v>37</v>
      </c>
      <c r="D29">
        <v>37</v>
      </c>
      <c r="E29" s="2">
        <v>45179</v>
      </c>
      <c r="F29" s="2">
        <v>45718</v>
      </c>
      <c r="G29" t="s">
        <v>33</v>
      </c>
      <c r="H29">
        <v>64488</v>
      </c>
    </row>
    <row r="30" spans="1:8" x14ac:dyDescent="0.35">
      <c r="A30" t="s">
        <v>67</v>
      </c>
      <c r="B30" t="s">
        <v>49</v>
      </c>
      <c r="C30" t="s">
        <v>32</v>
      </c>
      <c r="D30">
        <v>41</v>
      </c>
      <c r="E30" s="2">
        <v>44739</v>
      </c>
      <c r="F30" s="2">
        <v>45289</v>
      </c>
      <c r="G30" t="s">
        <v>33</v>
      </c>
      <c r="H30">
        <v>89017</v>
      </c>
    </row>
    <row r="31" spans="1:8" x14ac:dyDescent="0.35">
      <c r="A31" t="s">
        <v>68</v>
      </c>
      <c r="B31" t="s">
        <v>43</v>
      </c>
      <c r="C31" t="s">
        <v>37</v>
      </c>
      <c r="D31">
        <v>28</v>
      </c>
      <c r="E31" s="2">
        <v>45210</v>
      </c>
      <c r="F31" s="2">
        <v>46054</v>
      </c>
      <c r="G31" t="s">
        <v>33</v>
      </c>
      <c r="H31">
        <v>105619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workbookViewId="0">
      <selection activeCell="H1" sqref="H1"/>
    </sheetView>
  </sheetViews>
  <sheetFormatPr defaultRowHeight="14.5" x14ac:dyDescent="0.35"/>
  <cols>
    <col min="1" max="1" width="9.7265625" bestFit="1" customWidth="1"/>
    <col min="2" max="2" width="15.453125" bestFit="1" customWidth="1"/>
    <col min="3" max="3" width="10.453125" bestFit="1" customWidth="1"/>
    <col min="4" max="4" width="12.90625" bestFit="1" customWidth="1"/>
    <col min="5" max="5" width="12.1796875" bestFit="1" customWidth="1"/>
    <col min="6" max="6" width="17.54296875" bestFit="1" customWidth="1"/>
    <col min="7" max="7" width="17.81640625" style="14" bestFit="1" customWidth="1"/>
    <col min="8" max="8" width="11.7265625" bestFit="1" customWidth="1"/>
  </cols>
  <sheetData>
    <row r="1" spans="1:8" x14ac:dyDescent="0.35">
      <c r="A1" s="1" t="s">
        <v>69</v>
      </c>
      <c r="B1" s="1" t="s">
        <v>70</v>
      </c>
      <c r="C1" s="1" t="s">
        <v>71</v>
      </c>
      <c r="D1" s="1" t="s">
        <v>72</v>
      </c>
      <c r="E1" s="1" t="s">
        <v>73</v>
      </c>
      <c r="F1" s="1" t="s">
        <v>74</v>
      </c>
      <c r="G1" s="13" t="s">
        <v>0</v>
      </c>
      <c r="H1" s="1" t="s">
        <v>75</v>
      </c>
    </row>
    <row r="2" spans="1:8" x14ac:dyDescent="0.35">
      <c r="A2" t="s">
        <v>76</v>
      </c>
      <c r="B2" t="s">
        <v>77</v>
      </c>
      <c r="C2" t="s">
        <v>78</v>
      </c>
      <c r="D2">
        <v>120</v>
      </c>
      <c r="E2">
        <v>80</v>
      </c>
      <c r="F2">
        <v>84</v>
      </c>
      <c r="G2" s="7">
        <v>45155</v>
      </c>
      <c r="H2">
        <v>124</v>
      </c>
    </row>
    <row r="3" spans="1:8" x14ac:dyDescent="0.35">
      <c r="A3" t="s">
        <v>79</v>
      </c>
      <c r="B3" t="s">
        <v>80</v>
      </c>
      <c r="C3" t="s">
        <v>81</v>
      </c>
      <c r="D3">
        <v>132</v>
      </c>
      <c r="E3">
        <v>54</v>
      </c>
      <c r="F3">
        <v>28</v>
      </c>
      <c r="G3" s="7">
        <v>45189</v>
      </c>
      <c r="H3">
        <v>106</v>
      </c>
    </row>
    <row r="4" spans="1:8" x14ac:dyDescent="0.35">
      <c r="A4" t="s">
        <v>82</v>
      </c>
      <c r="B4" t="s">
        <v>77</v>
      </c>
      <c r="C4" t="s">
        <v>78</v>
      </c>
      <c r="D4">
        <v>54</v>
      </c>
      <c r="E4">
        <v>79</v>
      </c>
      <c r="F4">
        <v>25</v>
      </c>
      <c r="G4" s="7">
        <v>44983</v>
      </c>
      <c r="H4">
        <v>0</v>
      </c>
    </row>
    <row r="5" spans="1:8" x14ac:dyDescent="0.35">
      <c r="A5" t="s">
        <v>83</v>
      </c>
      <c r="B5" t="s">
        <v>77</v>
      </c>
      <c r="C5" t="s">
        <v>84</v>
      </c>
      <c r="D5">
        <v>184</v>
      </c>
      <c r="E5">
        <v>75</v>
      </c>
      <c r="F5">
        <v>81</v>
      </c>
      <c r="G5" s="7">
        <v>45214</v>
      </c>
      <c r="H5">
        <v>190</v>
      </c>
    </row>
    <row r="6" spans="1:8" x14ac:dyDescent="0.35">
      <c r="A6" t="s">
        <v>85</v>
      </c>
      <c r="B6" t="s">
        <v>86</v>
      </c>
      <c r="C6" t="s">
        <v>78</v>
      </c>
      <c r="D6">
        <v>100</v>
      </c>
      <c r="E6">
        <v>44</v>
      </c>
      <c r="F6">
        <v>29</v>
      </c>
      <c r="G6" s="7">
        <v>45278</v>
      </c>
      <c r="H6">
        <v>85</v>
      </c>
    </row>
    <row r="7" spans="1:8" x14ac:dyDescent="0.35">
      <c r="A7" t="s">
        <v>87</v>
      </c>
      <c r="B7" t="s">
        <v>80</v>
      </c>
      <c r="C7" t="s">
        <v>81</v>
      </c>
      <c r="D7">
        <v>163</v>
      </c>
      <c r="E7">
        <v>67</v>
      </c>
      <c r="F7">
        <v>63</v>
      </c>
      <c r="G7" s="7">
        <v>45269</v>
      </c>
      <c r="H7">
        <v>159</v>
      </c>
    </row>
    <row r="8" spans="1:8" x14ac:dyDescent="0.35">
      <c r="A8" t="s">
        <v>88</v>
      </c>
      <c r="B8" t="s">
        <v>86</v>
      </c>
      <c r="C8" t="s">
        <v>78</v>
      </c>
      <c r="D8">
        <v>196</v>
      </c>
      <c r="E8">
        <v>64</v>
      </c>
      <c r="F8">
        <v>44</v>
      </c>
      <c r="G8" s="7">
        <v>45191</v>
      </c>
      <c r="H8">
        <v>176</v>
      </c>
    </row>
    <row r="9" spans="1:8" x14ac:dyDescent="0.35">
      <c r="A9" t="s">
        <v>89</v>
      </c>
      <c r="B9" t="s">
        <v>77</v>
      </c>
      <c r="C9" t="s">
        <v>81</v>
      </c>
      <c r="D9">
        <v>194</v>
      </c>
      <c r="E9">
        <v>46</v>
      </c>
      <c r="F9">
        <v>91</v>
      </c>
      <c r="G9" s="7">
        <v>45224</v>
      </c>
      <c r="H9">
        <v>239</v>
      </c>
    </row>
    <row r="10" spans="1:8" x14ac:dyDescent="0.35">
      <c r="A10" t="s">
        <v>90</v>
      </c>
      <c r="B10" t="s">
        <v>86</v>
      </c>
      <c r="C10" t="s">
        <v>78</v>
      </c>
      <c r="D10">
        <v>95</v>
      </c>
      <c r="E10">
        <v>15</v>
      </c>
      <c r="F10">
        <v>49</v>
      </c>
      <c r="G10" s="7">
        <v>45094</v>
      </c>
      <c r="H10">
        <v>129</v>
      </c>
    </row>
    <row r="11" spans="1:8" x14ac:dyDescent="0.35">
      <c r="A11" t="s">
        <v>91</v>
      </c>
      <c r="B11" t="s">
        <v>86</v>
      </c>
      <c r="C11" t="s">
        <v>81</v>
      </c>
      <c r="D11">
        <v>97</v>
      </c>
      <c r="E11">
        <v>33</v>
      </c>
      <c r="F11">
        <v>62</v>
      </c>
      <c r="G11" s="7">
        <v>44972</v>
      </c>
      <c r="H11">
        <v>126</v>
      </c>
    </row>
    <row r="12" spans="1:8" x14ac:dyDescent="0.35">
      <c r="A12" t="s">
        <v>92</v>
      </c>
      <c r="B12" t="s">
        <v>86</v>
      </c>
      <c r="C12" t="s">
        <v>81</v>
      </c>
      <c r="D12">
        <v>177</v>
      </c>
      <c r="E12">
        <v>63</v>
      </c>
      <c r="F12">
        <v>67</v>
      </c>
      <c r="G12" s="7">
        <v>44947</v>
      </c>
      <c r="H12">
        <v>181</v>
      </c>
    </row>
    <row r="13" spans="1:8" x14ac:dyDescent="0.35">
      <c r="A13" t="s">
        <v>93</v>
      </c>
      <c r="B13" t="s">
        <v>77</v>
      </c>
      <c r="C13" t="s">
        <v>81</v>
      </c>
      <c r="D13">
        <v>114</v>
      </c>
      <c r="E13">
        <v>72</v>
      </c>
      <c r="F13">
        <v>63</v>
      </c>
      <c r="G13" s="7">
        <v>44941</v>
      </c>
      <c r="H13">
        <v>105</v>
      </c>
    </row>
    <row r="14" spans="1:8" x14ac:dyDescent="0.35">
      <c r="A14" t="s">
        <v>94</v>
      </c>
      <c r="B14" t="s">
        <v>80</v>
      </c>
      <c r="C14" t="s">
        <v>81</v>
      </c>
      <c r="D14">
        <v>122</v>
      </c>
      <c r="E14">
        <v>55</v>
      </c>
      <c r="F14">
        <v>68</v>
      </c>
      <c r="G14" s="7">
        <v>45041</v>
      </c>
      <c r="H14">
        <v>135</v>
      </c>
    </row>
    <row r="15" spans="1:8" x14ac:dyDescent="0.35">
      <c r="A15" t="s">
        <v>95</v>
      </c>
      <c r="B15" t="s">
        <v>77</v>
      </c>
      <c r="C15" t="s">
        <v>81</v>
      </c>
      <c r="D15">
        <v>188</v>
      </c>
      <c r="E15">
        <v>32</v>
      </c>
      <c r="F15">
        <v>26</v>
      </c>
      <c r="G15" s="7">
        <v>45153</v>
      </c>
      <c r="H15">
        <v>182</v>
      </c>
    </row>
    <row r="16" spans="1:8" x14ac:dyDescent="0.35">
      <c r="A16" t="s">
        <v>96</v>
      </c>
      <c r="B16" t="s">
        <v>77</v>
      </c>
      <c r="C16" t="s">
        <v>78</v>
      </c>
      <c r="D16">
        <v>181</v>
      </c>
      <c r="E16">
        <v>66</v>
      </c>
      <c r="F16">
        <v>50</v>
      </c>
      <c r="G16" s="7">
        <v>45026</v>
      </c>
      <c r="H16">
        <v>165</v>
      </c>
    </row>
    <row r="17" spans="1:8" x14ac:dyDescent="0.35">
      <c r="A17" t="s">
        <v>97</v>
      </c>
      <c r="B17" t="s">
        <v>77</v>
      </c>
      <c r="C17" t="s">
        <v>84</v>
      </c>
      <c r="D17">
        <v>71</v>
      </c>
      <c r="E17">
        <v>36</v>
      </c>
      <c r="F17">
        <v>65</v>
      </c>
      <c r="G17" s="7">
        <v>45230</v>
      </c>
      <c r="H17">
        <v>100</v>
      </c>
    </row>
    <row r="18" spans="1:8" x14ac:dyDescent="0.35">
      <c r="A18" t="s">
        <v>98</v>
      </c>
      <c r="B18" t="s">
        <v>77</v>
      </c>
      <c r="C18" t="s">
        <v>84</v>
      </c>
      <c r="D18">
        <v>106</v>
      </c>
      <c r="E18">
        <v>10</v>
      </c>
      <c r="F18">
        <v>25</v>
      </c>
      <c r="G18" s="7">
        <v>44978</v>
      </c>
      <c r="H18">
        <v>121</v>
      </c>
    </row>
    <row r="19" spans="1:8" x14ac:dyDescent="0.35">
      <c r="A19" t="s">
        <v>99</v>
      </c>
      <c r="B19" t="s">
        <v>77</v>
      </c>
      <c r="C19" t="s">
        <v>78</v>
      </c>
      <c r="D19">
        <v>129</v>
      </c>
      <c r="E19">
        <v>22</v>
      </c>
      <c r="F19">
        <v>70</v>
      </c>
      <c r="G19" s="7">
        <v>45003</v>
      </c>
      <c r="H19">
        <v>177</v>
      </c>
    </row>
    <row r="20" spans="1:8" x14ac:dyDescent="0.35">
      <c r="A20" t="s">
        <v>100</v>
      </c>
      <c r="B20" t="s">
        <v>77</v>
      </c>
      <c r="C20" t="s">
        <v>78</v>
      </c>
      <c r="D20">
        <v>170</v>
      </c>
      <c r="E20">
        <v>56</v>
      </c>
      <c r="F20">
        <v>21</v>
      </c>
      <c r="G20" s="7">
        <v>45004</v>
      </c>
      <c r="H20">
        <v>135</v>
      </c>
    </row>
    <row r="21" spans="1:8" x14ac:dyDescent="0.35">
      <c r="A21" t="s">
        <v>101</v>
      </c>
      <c r="B21" t="s">
        <v>77</v>
      </c>
      <c r="C21" t="s">
        <v>78</v>
      </c>
      <c r="D21">
        <v>128</v>
      </c>
      <c r="E21">
        <v>40</v>
      </c>
      <c r="F21">
        <v>28</v>
      </c>
      <c r="G21" s="7">
        <v>45166</v>
      </c>
      <c r="H21">
        <v>116</v>
      </c>
    </row>
    <row r="22" spans="1:8" x14ac:dyDescent="0.35">
      <c r="A22" t="s">
        <v>102</v>
      </c>
      <c r="B22" t="s">
        <v>86</v>
      </c>
      <c r="C22" t="s">
        <v>78</v>
      </c>
      <c r="D22">
        <v>56</v>
      </c>
      <c r="E22">
        <v>46</v>
      </c>
      <c r="F22">
        <v>66</v>
      </c>
      <c r="G22" s="7">
        <v>45052</v>
      </c>
      <c r="H22">
        <v>76</v>
      </c>
    </row>
    <row r="23" spans="1:8" x14ac:dyDescent="0.35">
      <c r="A23" t="s">
        <v>103</v>
      </c>
      <c r="B23" t="s">
        <v>86</v>
      </c>
      <c r="C23" t="s">
        <v>78</v>
      </c>
      <c r="D23">
        <v>136</v>
      </c>
      <c r="E23">
        <v>20</v>
      </c>
      <c r="F23">
        <v>59</v>
      </c>
      <c r="G23" s="7">
        <v>45247</v>
      </c>
      <c r="H23">
        <v>175</v>
      </c>
    </row>
    <row r="24" spans="1:8" x14ac:dyDescent="0.35">
      <c r="A24" t="s">
        <v>104</v>
      </c>
      <c r="B24" t="s">
        <v>77</v>
      </c>
      <c r="C24" t="s">
        <v>81</v>
      </c>
      <c r="D24">
        <v>68</v>
      </c>
      <c r="E24">
        <v>56</v>
      </c>
      <c r="F24">
        <v>70</v>
      </c>
      <c r="G24" s="7">
        <v>45100</v>
      </c>
      <c r="H24">
        <v>82</v>
      </c>
    </row>
    <row r="25" spans="1:8" x14ac:dyDescent="0.35">
      <c r="A25" t="s">
        <v>105</v>
      </c>
      <c r="B25" t="s">
        <v>80</v>
      </c>
      <c r="C25" t="s">
        <v>84</v>
      </c>
      <c r="D25">
        <v>165</v>
      </c>
      <c r="E25">
        <v>68</v>
      </c>
      <c r="F25">
        <v>47</v>
      </c>
      <c r="G25" s="7">
        <v>45286</v>
      </c>
      <c r="H25">
        <v>144</v>
      </c>
    </row>
    <row r="26" spans="1:8" x14ac:dyDescent="0.35">
      <c r="A26" t="s">
        <v>106</v>
      </c>
      <c r="B26" t="s">
        <v>86</v>
      </c>
      <c r="C26" t="s">
        <v>81</v>
      </c>
      <c r="D26">
        <v>71</v>
      </c>
      <c r="E26">
        <v>68</v>
      </c>
      <c r="F26">
        <v>57</v>
      </c>
      <c r="G26" s="7">
        <v>44987</v>
      </c>
      <c r="H26">
        <v>60</v>
      </c>
    </row>
    <row r="27" spans="1:8" x14ac:dyDescent="0.35">
      <c r="A27" t="s">
        <v>107</v>
      </c>
      <c r="B27" t="s">
        <v>86</v>
      </c>
      <c r="C27" t="s">
        <v>84</v>
      </c>
      <c r="D27">
        <v>56</v>
      </c>
      <c r="E27">
        <v>70</v>
      </c>
      <c r="F27">
        <v>75</v>
      </c>
      <c r="G27" s="7">
        <v>45123</v>
      </c>
      <c r="H27">
        <v>61</v>
      </c>
    </row>
    <row r="28" spans="1:8" x14ac:dyDescent="0.35">
      <c r="A28" t="s">
        <v>108</v>
      </c>
      <c r="B28" t="s">
        <v>86</v>
      </c>
      <c r="C28" t="s">
        <v>84</v>
      </c>
      <c r="D28">
        <v>80</v>
      </c>
      <c r="E28">
        <v>61</v>
      </c>
      <c r="F28">
        <v>39</v>
      </c>
      <c r="G28" s="7">
        <v>44937</v>
      </c>
      <c r="H28">
        <v>58</v>
      </c>
    </row>
    <row r="29" spans="1:8" x14ac:dyDescent="0.35">
      <c r="A29" t="s">
        <v>109</v>
      </c>
      <c r="B29" t="s">
        <v>80</v>
      </c>
      <c r="C29" t="s">
        <v>81</v>
      </c>
      <c r="D29">
        <v>70</v>
      </c>
      <c r="E29">
        <v>68</v>
      </c>
      <c r="F29">
        <v>46</v>
      </c>
      <c r="G29" s="7">
        <v>45261</v>
      </c>
      <c r="H29">
        <v>48</v>
      </c>
    </row>
    <row r="30" spans="1:8" x14ac:dyDescent="0.35">
      <c r="A30" t="s">
        <v>110</v>
      </c>
      <c r="B30" t="s">
        <v>77</v>
      </c>
      <c r="C30" t="s">
        <v>78</v>
      </c>
      <c r="D30">
        <v>143</v>
      </c>
      <c r="E30">
        <v>49</v>
      </c>
      <c r="F30">
        <v>44</v>
      </c>
      <c r="G30" s="7">
        <v>45147</v>
      </c>
      <c r="H30">
        <v>138</v>
      </c>
    </row>
    <row r="31" spans="1:8" x14ac:dyDescent="0.35">
      <c r="A31" t="s">
        <v>111</v>
      </c>
      <c r="B31" t="s">
        <v>86</v>
      </c>
      <c r="C31" t="s">
        <v>84</v>
      </c>
      <c r="D31">
        <v>168</v>
      </c>
      <c r="E31">
        <v>29</v>
      </c>
      <c r="F31">
        <v>77</v>
      </c>
      <c r="G31" s="7">
        <v>44944</v>
      </c>
      <c r="H31">
        <v>216</v>
      </c>
    </row>
  </sheetData>
  <autoFilter ref="A1:H1" xr:uid="{00000000-0001-0000-0200-000000000000}"/>
  <conditionalFormatting sqref="H2:H31">
    <cfRule type="cellIs" dxfId="4" priority="1" operator="lessThan">
      <formula>20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F3" sqref="A1:F31"/>
    </sheetView>
  </sheetViews>
  <sheetFormatPr defaultRowHeight="14.5" x14ac:dyDescent="0.35"/>
  <cols>
    <col min="1" max="1" width="11.08984375" bestFit="1" customWidth="1"/>
    <col min="2" max="2" width="15.7265625" bestFit="1" customWidth="1"/>
    <col min="3" max="3" width="15.08984375" bestFit="1" customWidth="1"/>
    <col min="4" max="4" width="6.7265625" bestFit="1" customWidth="1"/>
    <col min="5" max="5" width="17.81640625" bestFit="1" customWidth="1"/>
    <col min="6" max="6" width="12.1796875" bestFit="1" customWidth="1"/>
  </cols>
  <sheetData>
    <row r="1" spans="1:6" x14ac:dyDescent="0.35">
      <c r="A1" s="1" t="s">
        <v>23</v>
      </c>
      <c r="B1" s="1" t="s">
        <v>112</v>
      </c>
      <c r="C1" s="1" t="s">
        <v>113</v>
      </c>
      <c r="D1" s="1" t="s">
        <v>114</v>
      </c>
      <c r="E1" s="1" t="s">
        <v>0</v>
      </c>
      <c r="F1" s="1" t="s">
        <v>115</v>
      </c>
    </row>
    <row r="2" spans="1:6" x14ac:dyDescent="0.35">
      <c r="A2" t="s">
        <v>35</v>
      </c>
      <c r="B2" t="s">
        <v>116</v>
      </c>
      <c r="C2">
        <v>3707</v>
      </c>
      <c r="D2">
        <v>5413</v>
      </c>
      <c r="E2" s="2">
        <v>45091</v>
      </c>
      <c r="F2" t="s">
        <v>117</v>
      </c>
    </row>
    <row r="3" spans="1:6" x14ac:dyDescent="0.35">
      <c r="A3" t="s">
        <v>118</v>
      </c>
      <c r="B3" t="s">
        <v>119</v>
      </c>
      <c r="C3">
        <v>8341</v>
      </c>
      <c r="D3">
        <v>10963</v>
      </c>
      <c r="E3" s="2">
        <v>45111</v>
      </c>
      <c r="F3" t="s">
        <v>120</v>
      </c>
    </row>
    <row r="4" spans="1:6" x14ac:dyDescent="0.35">
      <c r="A4" t="s">
        <v>121</v>
      </c>
      <c r="B4" t="s">
        <v>122</v>
      </c>
      <c r="C4">
        <v>8733</v>
      </c>
      <c r="D4">
        <v>8992</v>
      </c>
      <c r="E4" s="2">
        <v>45125</v>
      </c>
      <c r="F4" t="s">
        <v>123</v>
      </c>
    </row>
    <row r="5" spans="1:6" x14ac:dyDescent="0.35">
      <c r="A5" t="s">
        <v>121</v>
      </c>
      <c r="B5" t="s">
        <v>124</v>
      </c>
      <c r="C5">
        <v>1403</v>
      </c>
      <c r="D5">
        <v>7501</v>
      </c>
      <c r="E5" s="2">
        <v>45280</v>
      </c>
      <c r="F5" t="s">
        <v>117</v>
      </c>
    </row>
    <row r="6" spans="1:6" x14ac:dyDescent="0.35">
      <c r="A6" t="s">
        <v>118</v>
      </c>
      <c r="B6" t="s">
        <v>124</v>
      </c>
      <c r="C6">
        <v>5713</v>
      </c>
      <c r="D6">
        <v>11398</v>
      </c>
      <c r="E6" s="2">
        <v>45022</v>
      </c>
      <c r="F6" t="s">
        <v>117</v>
      </c>
    </row>
    <row r="7" spans="1:6" x14ac:dyDescent="0.35">
      <c r="A7" t="s">
        <v>121</v>
      </c>
      <c r="B7" t="s">
        <v>116</v>
      </c>
      <c r="C7">
        <v>9223</v>
      </c>
      <c r="D7">
        <v>13529</v>
      </c>
      <c r="E7" s="2">
        <v>45034</v>
      </c>
      <c r="F7" t="s">
        <v>125</v>
      </c>
    </row>
    <row r="8" spans="1:6" x14ac:dyDescent="0.35">
      <c r="A8" t="s">
        <v>118</v>
      </c>
      <c r="B8" t="s">
        <v>119</v>
      </c>
      <c r="C8">
        <v>2901</v>
      </c>
      <c r="D8">
        <v>12206</v>
      </c>
      <c r="E8" s="2">
        <v>45105</v>
      </c>
      <c r="F8" t="s">
        <v>120</v>
      </c>
    </row>
    <row r="9" spans="1:6" x14ac:dyDescent="0.35">
      <c r="A9" t="s">
        <v>118</v>
      </c>
      <c r="B9" t="s">
        <v>122</v>
      </c>
      <c r="C9">
        <v>2121</v>
      </c>
      <c r="D9">
        <v>11558</v>
      </c>
      <c r="E9" s="2">
        <v>45260</v>
      </c>
      <c r="F9" t="s">
        <v>120</v>
      </c>
    </row>
    <row r="10" spans="1:6" x14ac:dyDescent="0.35">
      <c r="A10" t="s">
        <v>35</v>
      </c>
      <c r="B10" t="s">
        <v>122</v>
      </c>
      <c r="C10">
        <v>4478</v>
      </c>
      <c r="D10">
        <v>12258</v>
      </c>
      <c r="E10" s="2">
        <v>45176</v>
      </c>
      <c r="F10" t="s">
        <v>125</v>
      </c>
    </row>
    <row r="11" spans="1:6" x14ac:dyDescent="0.35">
      <c r="A11" t="s">
        <v>35</v>
      </c>
      <c r="B11" t="s">
        <v>119</v>
      </c>
      <c r="C11">
        <v>3137</v>
      </c>
      <c r="D11">
        <v>10509</v>
      </c>
      <c r="E11" s="2">
        <v>44941</v>
      </c>
      <c r="F11" t="s">
        <v>125</v>
      </c>
    </row>
    <row r="12" spans="1:6" x14ac:dyDescent="0.35">
      <c r="A12" t="s">
        <v>121</v>
      </c>
      <c r="B12" t="s">
        <v>124</v>
      </c>
      <c r="C12">
        <v>3272</v>
      </c>
      <c r="D12">
        <v>11154</v>
      </c>
      <c r="E12" s="2">
        <v>45191</v>
      </c>
      <c r="F12" t="s">
        <v>120</v>
      </c>
    </row>
    <row r="13" spans="1:6" x14ac:dyDescent="0.35">
      <c r="A13" t="s">
        <v>35</v>
      </c>
      <c r="B13" t="s">
        <v>124</v>
      </c>
      <c r="C13">
        <v>7552</v>
      </c>
      <c r="D13">
        <v>5819</v>
      </c>
      <c r="E13" s="2">
        <v>45140</v>
      </c>
      <c r="F13" t="s">
        <v>123</v>
      </c>
    </row>
    <row r="14" spans="1:6" x14ac:dyDescent="0.35">
      <c r="A14" t="s">
        <v>118</v>
      </c>
      <c r="B14" t="s">
        <v>119</v>
      </c>
      <c r="C14">
        <v>1399</v>
      </c>
      <c r="D14">
        <v>5098</v>
      </c>
      <c r="E14" s="2">
        <v>44980</v>
      </c>
      <c r="F14" t="s">
        <v>125</v>
      </c>
    </row>
    <row r="15" spans="1:6" x14ac:dyDescent="0.35">
      <c r="A15" t="s">
        <v>35</v>
      </c>
      <c r="B15" t="s">
        <v>122</v>
      </c>
      <c r="C15">
        <v>9009</v>
      </c>
      <c r="D15">
        <v>8963</v>
      </c>
      <c r="E15" s="2">
        <v>45152</v>
      </c>
      <c r="F15" t="s">
        <v>120</v>
      </c>
    </row>
    <row r="16" spans="1:6" x14ac:dyDescent="0.35">
      <c r="A16" t="s">
        <v>35</v>
      </c>
      <c r="B16" t="s">
        <v>116</v>
      </c>
      <c r="C16">
        <v>8645</v>
      </c>
      <c r="D16">
        <v>8210</v>
      </c>
      <c r="E16" s="2">
        <v>45183</v>
      </c>
      <c r="F16" t="s">
        <v>117</v>
      </c>
    </row>
    <row r="17" spans="1:6" x14ac:dyDescent="0.35">
      <c r="A17" t="s">
        <v>126</v>
      </c>
      <c r="B17" t="s">
        <v>124</v>
      </c>
      <c r="C17">
        <v>2694</v>
      </c>
      <c r="D17">
        <v>7831</v>
      </c>
      <c r="E17" s="2">
        <v>45233</v>
      </c>
      <c r="F17" t="s">
        <v>123</v>
      </c>
    </row>
    <row r="18" spans="1:6" x14ac:dyDescent="0.35">
      <c r="A18" t="s">
        <v>118</v>
      </c>
      <c r="B18" t="s">
        <v>124</v>
      </c>
      <c r="C18">
        <v>3568</v>
      </c>
      <c r="D18">
        <v>6065</v>
      </c>
      <c r="E18" s="2">
        <v>45128</v>
      </c>
      <c r="F18" t="s">
        <v>117</v>
      </c>
    </row>
    <row r="19" spans="1:6" x14ac:dyDescent="0.35">
      <c r="A19" t="s">
        <v>121</v>
      </c>
      <c r="B19" t="s">
        <v>119</v>
      </c>
      <c r="C19">
        <v>7045</v>
      </c>
      <c r="D19">
        <v>14543</v>
      </c>
      <c r="E19" s="2">
        <v>45210</v>
      </c>
      <c r="F19" t="s">
        <v>123</v>
      </c>
    </row>
    <row r="20" spans="1:6" x14ac:dyDescent="0.35">
      <c r="A20" t="s">
        <v>35</v>
      </c>
      <c r="B20" t="s">
        <v>116</v>
      </c>
      <c r="C20">
        <v>3754</v>
      </c>
      <c r="D20">
        <v>13533</v>
      </c>
      <c r="E20" s="2">
        <v>45041</v>
      </c>
      <c r="F20" t="s">
        <v>125</v>
      </c>
    </row>
    <row r="21" spans="1:6" x14ac:dyDescent="0.35">
      <c r="A21" t="s">
        <v>118</v>
      </c>
      <c r="B21" t="s">
        <v>119</v>
      </c>
      <c r="C21">
        <v>6762</v>
      </c>
      <c r="D21">
        <v>5074</v>
      </c>
      <c r="E21" s="2">
        <v>45130</v>
      </c>
      <c r="F21" t="s">
        <v>125</v>
      </c>
    </row>
    <row r="22" spans="1:6" x14ac:dyDescent="0.35">
      <c r="A22" t="s">
        <v>118</v>
      </c>
      <c r="B22" t="s">
        <v>119</v>
      </c>
      <c r="C22">
        <v>5297</v>
      </c>
      <c r="D22">
        <v>10525</v>
      </c>
      <c r="E22" s="2">
        <v>45158</v>
      </c>
      <c r="F22" t="s">
        <v>117</v>
      </c>
    </row>
    <row r="23" spans="1:6" x14ac:dyDescent="0.35">
      <c r="A23" t="s">
        <v>126</v>
      </c>
      <c r="B23" t="s">
        <v>124</v>
      </c>
      <c r="C23">
        <v>3504</v>
      </c>
      <c r="D23">
        <v>5695</v>
      </c>
      <c r="E23" s="2">
        <v>45066</v>
      </c>
      <c r="F23" t="s">
        <v>125</v>
      </c>
    </row>
    <row r="24" spans="1:6" x14ac:dyDescent="0.35">
      <c r="A24" t="s">
        <v>118</v>
      </c>
      <c r="B24" t="s">
        <v>122</v>
      </c>
      <c r="C24">
        <v>6705</v>
      </c>
      <c r="D24">
        <v>8911</v>
      </c>
      <c r="E24" s="2">
        <v>45177</v>
      </c>
      <c r="F24" t="s">
        <v>117</v>
      </c>
    </row>
    <row r="25" spans="1:6" x14ac:dyDescent="0.35">
      <c r="A25" t="s">
        <v>126</v>
      </c>
      <c r="B25" t="s">
        <v>122</v>
      </c>
      <c r="C25">
        <v>5364</v>
      </c>
      <c r="D25">
        <v>8292</v>
      </c>
      <c r="E25" s="2">
        <v>45280</v>
      </c>
      <c r="F25" t="s">
        <v>125</v>
      </c>
    </row>
    <row r="26" spans="1:6" x14ac:dyDescent="0.35">
      <c r="A26" t="s">
        <v>121</v>
      </c>
      <c r="B26" t="s">
        <v>119</v>
      </c>
      <c r="C26">
        <v>2771</v>
      </c>
      <c r="D26">
        <v>14172</v>
      </c>
      <c r="E26" s="2">
        <v>45003</v>
      </c>
      <c r="F26" t="s">
        <v>120</v>
      </c>
    </row>
    <row r="27" spans="1:6" x14ac:dyDescent="0.35">
      <c r="A27" t="s">
        <v>118</v>
      </c>
      <c r="B27" t="s">
        <v>122</v>
      </c>
      <c r="C27">
        <v>3886</v>
      </c>
      <c r="D27">
        <v>5220</v>
      </c>
      <c r="E27" s="2">
        <v>45063</v>
      </c>
      <c r="F27" t="s">
        <v>120</v>
      </c>
    </row>
    <row r="28" spans="1:6" x14ac:dyDescent="0.35">
      <c r="A28" t="s">
        <v>118</v>
      </c>
      <c r="B28" t="s">
        <v>119</v>
      </c>
      <c r="C28">
        <v>7567</v>
      </c>
      <c r="D28">
        <v>13183</v>
      </c>
      <c r="E28" s="2">
        <v>45259</v>
      </c>
      <c r="F28" t="s">
        <v>117</v>
      </c>
    </row>
    <row r="29" spans="1:6" x14ac:dyDescent="0.35">
      <c r="A29" t="s">
        <v>35</v>
      </c>
      <c r="B29" t="s">
        <v>119</v>
      </c>
      <c r="C29">
        <v>4229</v>
      </c>
      <c r="D29">
        <v>7593</v>
      </c>
      <c r="E29" s="2">
        <v>45118</v>
      </c>
      <c r="F29" t="s">
        <v>125</v>
      </c>
    </row>
    <row r="30" spans="1:6" x14ac:dyDescent="0.35">
      <c r="A30" t="s">
        <v>35</v>
      </c>
      <c r="B30" t="s">
        <v>122</v>
      </c>
      <c r="C30">
        <v>3656</v>
      </c>
      <c r="D30">
        <v>14541</v>
      </c>
      <c r="E30" s="2">
        <v>45277</v>
      </c>
      <c r="F30" t="s">
        <v>120</v>
      </c>
    </row>
    <row r="31" spans="1:6" x14ac:dyDescent="0.35">
      <c r="A31" t="s">
        <v>121</v>
      </c>
      <c r="B31" t="s">
        <v>119</v>
      </c>
      <c r="C31">
        <v>8425</v>
      </c>
      <c r="D31">
        <v>12388</v>
      </c>
      <c r="E31" s="2">
        <v>45120</v>
      </c>
      <c r="F31" t="s">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election activeCell="H6" sqref="A1:H31"/>
    </sheetView>
  </sheetViews>
  <sheetFormatPr defaultRowHeight="14.5" x14ac:dyDescent="0.35"/>
  <cols>
    <col min="1" max="1" width="8" bestFit="1" customWidth="1"/>
    <col min="2" max="2" width="14.453125" bestFit="1" customWidth="1"/>
    <col min="3" max="4" width="17.81640625" bestFit="1" customWidth="1"/>
    <col min="5" max="5" width="11" bestFit="1" customWidth="1"/>
    <col min="6" max="6" width="10.90625" bestFit="1" customWidth="1"/>
    <col min="7" max="7" width="13.36328125" bestFit="1" customWidth="1"/>
    <col min="8" max="8" width="21.453125" bestFit="1" customWidth="1"/>
  </cols>
  <sheetData>
    <row r="1" spans="1:8" x14ac:dyDescent="0.35">
      <c r="A1" s="1" t="s">
        <v>240</v>
      </c>
      <c r="B1" s="1" t="s">
        <v>127</v>
      </c>
      <c r="C1" s="1" t="s">
        <v>128</v>
      </c>
      <c r="D1" s="1" t="s">
        <v>129</v>
      </c>
      <c r="E1" s="1" t="s">
        <v>3</v>
      </c>
      <c r="F1" s="1" t="s">
        <v>130</v>
      </c>
      <c r="G1" s="1" t="s">
        <v>131</v>
      </c>
      <c r="H1" s="1" t="s">
        <v>132</v>
      </c>
    </row>
    <row r="2" spans="1:8" x14ac:dyDescent="0.35">
      <c r="A2" t="s">
        <v>133</v>
      </c>
      <c r="B2" t="s">
        <v>134</v>
      </c>
      <c r="C2" s="2">
        <v>45049</v>
      </c>
      <c r="D2" s="2">
        <v>45056</v>
      </c>
      <c r="E2" t="s">
        <v>135</v>
      </c>
      <c r="F2">
        <v>6604</v>
      </c>
      <c r="G2" t="s">
        <v>136</v>
      </c>
      <c r="H2">
        <v>7</v>
      </c>
    </row>
    <row r="3" spans="1:8" x14ac:dyDescent="0.35">
      <c r="A3" t="s">
        <v>137</v>
      </c>
      <c r="B3" t="s">
        <v>134</v>
      </c>
      <c r="C3" s="2">
        <v>45065</v>
      </c>
      <c r="D3" s="2">
        <v>45066</v>
      </c>
      <c r="E3" t="s">
        <v>138</v>
      </c>
      <c r="F3">
        <v>32671</v>
      </c>
      <c r="G3" t="s">
        <v>136</v>
      </c>
      <c r="H3">
        <v>1</v>
      </c>
    </row>
    <row r="4" spans="1:8" x14ac:dyDescent="0.35">
      <c r="A4" t="s">
        <v>139</v>
      </c>
      <c r="B4" t="s">
        <v>140</v>
      </c>
      <c r="C4" s="2">
        <v>44977</v>
      </c>
      <c r="D4" s="2">
        <v>44983</v>
      </c>
      <c r="E4" t="s">
        <v>138</v>
      </c>
      <c r="F4">
        <v>38799</v>
      </c>
      <c r="G4" t="s">
        <v>136</v>
      </c>
      <c r="H4">
        <v>6</v>
      </c>
    </row>
    <row r="5" spans="1:8" x14ac:dyDescent="0.35">
      <c r="A5" t="s">
        <v>141</v>
      </c>
      <c r="B5" t="s">
        <v>142</v>
      </c>
      <c r="C5" s="2">
        <v>45200</v>
      </c>
      <c r="D5" s="2">
        <v>45203</v>
      </c>
      <c r="E5" t="s">
        <v>143</v>
      </c>
      <c r="F5">
        <v>40016</v>
      </c>
      <c r="G5" t="s">
        <v>136</v>
      </c>
      <c r="H5">
        <v>3</v>
      </c>
    </row>
    <row r="6" spans="1:8" x14ac:dyDescent="0.35">
      <c r="A6" t="s">
        <v>144</v>
      </c>
      <c r="B6" t="s">
        <v>142</v>
      </c>
      <c r="C6" s="2">
        <v>45223</v>
      </c>
      <c r="D6" s="2">
        <v>45233</v>
      </c>
      <c r="E6" t="s">
        <v>138</v>
      </c>
      <c r="F6">
        <v>15591</v>
      </c>
      <c r="G6" t="s">
        <v>145</v>
      </c>
      <c r="H6">
        <v>10</v>
      </c>
    </row>
    <row r="7" spans="1:8" x14ac:dyDescent="0.35">
      <c r="A7" t="s">
        <v>146</v>
      </c>
      <c r="B7" t="s">
        <v>147</v>
      </c>
      <c r="C7" s="2">
        <v>45238</v>
      </c>
      <c r="D7" s="2">
        <v>45243</v>
      </c>
      <c r="E7" t="s">
        <v>148</v>
      </c>
      <c r="F7">
        <v>6929</v>
      </c>
      <c r="G7" t="s">
        <v>145</v>
      </c>
      <c r="H7">
        <v>5</v>
      </c>
    </row>
    <row r="8" spans="1:8" x14ac:dyDescent="0.35">
      <c r="A8" t="s">
        <v>149</v>
      </c>
      <c r="B8" t="s">
        <v>140</v>
      </c>
      <c r="C8" s="2">
        <v>45111</v>
      </c>
      <c r="D8" s="2">
        <v>45120</v>
      </c>
      <c r="E8" t="s">
        <v>138</v>
      </c>
      <c r="F8">
        <v>32236</v>
      </c>
      <c r="G8" t="s">
        <v>136</v>
      </c>
      <c r="H8">
        <v>9</v>
      </c>
    </row>
    <row r="9" spans="1:8" x14ac:dyDescent="0.35">
      <c r="A9" t="s">
        <v>150</v>
      </c>
      <c r="B9" t="s">
        <v>140</v>
      </c>
      <c r="C9" s="2">
        <v>45143</v>
      </c>
      <c r="D9" s="2">
        <v>45153</v>
      </c>
      <c r="E9" t="s">
        <v>135</v>
      </c>
      <c r="F9">
        <v>7082</v>
      </c>
      <c r="G9" t="s">
        <v>136</v>
      </c>
      <c r="H9">
        <v>10</v>
      </c>
    </row>
    <row r="10" spans="1:8" x14ac:dyDescent="0.35">
      <c r="A10" t="s">
        <v>151</v>
      </c>
      <c r="B10" t="s">
        <v>147</v>
      </c>
      <c r="C10" s="2">
        <v>45125</v>
      </c>
      <c r="D10" s="2">
        <v>45132</v>
      </c>
      <c r="E10" t="s">
        <v>135</v>
      </c>
      <c r="F10">
        <v>40232</v>
      </c>
      <c r="G10" t="s">
        <v>136</v>
      </c>
      <c r="H10">
        <v>7</v>
      </c>
    </row>
    <row r="11" spans="1:8" x14ac:dyDescent="0.35">
      <c r="A11" t="s">
        <v>152</v>
      </c>
      <c r="B11" t="s">
        <v>134</v>
      </c>
      <c r="C11" s="2">
        <v>45199</v>
      </c>
      <c r="D11" s="2">
        <v>45206</v>
      </c>
      <c r="E11" t="s">
        <v>143</v>
      </c>
      <c r="F11">
        <v>34502</v>
      </c>
      <c r="G11" t="s">
        <v>136</v>
      </c>
      <c r="H11">
        <v>7</v>
      </c>
    </row>
    <row r="12" spans="1:8" x14ac:dyDescent="0.35">
      <c r="A12" t="s">
        <v>153</v>
      </c>
      <c r="B12" t="s">
        <v>140</v>
      </c>
      <c r="C12" s="2">
        <v>45068</v>
      </c>
      <c r="D12" s="2">
        <v>45070</v>
      </c>
      <c r="E12" t="s">
        <v>148</v>
      </c>
      <c r="F12">
        <v>22818</v>
      </c>
      <c r="G12" t="s">
        <v>145</v>
      </c>
      <c r="H12">
        <v>2</v>
      </c>
    </row>
    <row r="13" spans="1:8" x14ac:dyDescent="0.35">
      <c r="A13" t="s">
        <v>154</v>
      </c>
      <c r="B13" t="s">
        <v>142</v>
      </c>
      <c r="C13" s="2">
        <v>45207</v>
      </c>
      <c r="D13" s="2">
        <v>45217</v>
      </c>
      <c r="E13" t="s">
        <v>143</v>
      </c>
      <c r="F13">
        <v>45236</v>
      </c>
      <c r="G13" t="s">
        <v>145</v>
      </c>
      <c r="H13">
        <v>10</v>
      </c>
    </row>
    <row r="14" spans="1:8" x14ac:dyDescent="0.35">
      <c r="A14" t="s">
        <v>155</v>
      </c>
      <c r="B14" t="s">
        <v>147</v>
      </c>
      <c r="C14" s="2">
        <v>45130</v>
      </c>
      <c r="D14" s="2">
        <v>45137</v>
      </c>
      <c r="E14" t="s">
        <v>148</v>
      </c>
      <c r="F14">
        <v>47188</v>
      </c>
      <c r="G14" t="s">
        <v>136</v>
      </c>
      <c r="H14">
        <v>7</v>
      </c>
    </row>
    <row r="15" spans="1:8" x14ac:dyDescent="0.35">
      <c r="A15" t="s">
        <v>156</v>
      </c>
      <c r="B15" t="s">
        <v>142</v>
      </c>
      <c r="C15" s="2">
        <v>45182</v>
      </c>
      <c r="D15" s="2">
        <v>45188</v>
      </c>
      <c r="E15" t="s">
        <v>148</v>
      </c>
      <c r="F15">
        <v>40135</v>
      </c>
      <c r="G15" t="s">
        <v>145</v>
      </c>
      <c r="H15">
        <v>6</v>
      </c>
    </row>
    <row r="16" spans="1:8" x14ac:dyDescent="0.35">
      <c r="A16" t="s">
        <v>157</v>
      </c>
      <c r="B16" t="s">
        <v>158</v>
      </c>
      <c r="C16" s="2">
        <v>45218</v>
      </c>
      <c r="D16" s="2">
        <v>45221</v>
      </c>
      <c r="E16" t="s">
        <v>138</v>
      </c>
      <c r="F16">
        <v>36682</v>
      </c>
      <c r="G16" t="s">
        <v>145</v>
      </c>
      <c r="H16">
        <v>3</v>
      </c>
    </row>
    <row r="17" spans="1:8" x14ac:dyDescent="0.35">
      <c r="A17" t="s">
        <v>159</v>
      </c>
      <c r="B17" t="s">
        <v>142</v>
      </c>
      <c r="C17" s="2">
        <v>45006</v>
      </c>
      <c r="D17" s="2">
        <v>45013</v>
      </c>
      <c r="E17" t="s">
        <v>135</v>
      </c>
      <c r="F17">
        <v>14341</v>
      </c>
      <c r="G17" t="s">
        <v>145</v>
      </c>
      <c r="H17">
        <v>7</v>
      </c>
    </row>
    <row r="18" spans="1:8" x14ac:dyDescent="0.35">
      <c r="A18" t="s">
        <v>160</v>
      </c>
      <c r="B18" t="s">
        <v>158</v>
      </c>
      <c r="C18" s="2">
        <v>45135</v>
      </c>
      <c r="D18" s="2">
        <v>45141</v>
      </c>
      <c r="E18" t="s">
        <v>148</v>
      </c>
      <c r="F18">
        <v>20862</v>
      </c>
      <c r="G18" t="s">
        <v>145</v>
      </c>
      <c r="H18">
        <v>6</v>
      </c>
    </row>
    <row r="19" spans="1:8" x14ac:dyDescent="0.35">
      <c r="A19" t="s">
        <v>161</v>
      </c>
      <c r="B19" t="s">
        <v>142</v>
      </c>
      <c r="C19" s="2">
        <v>44958</v>
      </c>
      <c r="D19" s="2">
        <v>44959</v>
      </c>
      <c r="E19" t="s">
        <v>138</v>
      </c>
      <c r="F19">
        <v>46396</v>
      </c>
      <c r="G19" t="s">
        <v>136</v>
      </c>
      <c r="H19">
        <v>1</v>
      </c>
    </row>
    <row r="20" spans="1:8" x14ac:dyDescent="0.35">
      <c r="A20" t="s">
        <v>162</v>
      </c>
      <c r="B20" t="s">
        <v>140</v>
      </c>
      <c r="C20" s="2">
        <v>45196</v>
      </c>
      <c r="D20" s="2">
        <v>45197</v>
      </c>
      <c r="E20" t="s">
        <v>138</v>
      </c>
      <c r="F20">
        <v>13146</v>
      </c>
      <c r="G20" t="s">
        <v>145</v>
      </c>
      <c r="H20">
        <v>1</v>
      </c>
    </row>
    <row r="21" spans="1:8" x14ac:dyDescent="0.35">
      <c r="A21" t="s">
        <v>163</v>
      </c>
      <c r="B21" t="s">
        <v>158</v>
      </c>
      <c r="C21" s="2">
        <v>45253</v>
      </c>
      <c r="D21" s="2">
        <v>45261</v>
      </c>
      <c r="E21" t="s">
        <v>135</v>
      </c>
      <c r="F21">
        <v>30201</v>
      </c>
      <c r="G21" t="s">
        <v>136</v>
      </c>
      <c r="H21">
        <v>8</v>
      </c>
    </row>
    <row r="22" spans="1:8" x14ac:dyDescent="0.35">
      <c r="A22" t="s">
        <v>164</v>
      </c>
      <c r="B22" t="s">
        <v>158</v>
      </c>
      <c r="C22" s="2">
        <v>45090</v>
      </c>
      <c r="D22" s="2">
        <v>45096</v>
      </c>
      <c r="E22" t="s">
        <v>138</v>
      </c>
      <c r="F22">
        <v>14442</v>
      </c>
      <c r="G22" t="s">
        <v>145</v>
      </c>
      <c r="H22">
        <v>6</v>
      </c>
    </row>
    <row r="23" spans="1:8" x14ac:dyDescent="0.35">
      <c r="A23" t="s">
        <v>165</v>
      </c>
      <c r="B23" t="s">
        <v>134</v>
      </c>
      <c r="C23" s="2">
        <v>45039</v>
      </c>
      <c r="D23" s="2">
        <v>45049</v>
      </c>
      <c r="E23" t="s">
        <v>135</v>
      </c>
      <c r="F23">
        <v>43861</v>
      </c>
      <c r="G23" t="s">
        <v>136</v>
      </c>
      <c r="H23">
        <v>10</v>
      </c>
    </row>
    <row r="24" spans="1:8" x14ac:dyDescent="0.35">
      <c r="A24" t="s">
        <v>166</v>
      </c>
      <c r="B24" t="s">
        <v>142</v>
      </c>
      <c r="C24" s="2">
        <v>45141</v>
      </c>
      <c r="D24" s="2">
        <v>45148</v>
      </c>
      <c r="E24" t="s">
        <v>138</v>
      </c>
      <c r="F24">
        <v>8349</v>
      </c>
      <c r="G24" t="s">
        <v>145</v>
      </c>
      <c r="H24">
        <v>7</v>
      </c>
    </row>
    <row r="25" spans="1:8" x14ac:dyDescent="0.35">
      <c r="A25" t="s">
        <v>167</v>
      </c>
      <c r="B25" t="s">
        <v>140</v>
      </c>
      <c r="C25" s="2">
        <v>45071</v>
      </c>
      <c r="D25" s="2">
        <v>45072</v>
      </c>
      <c r="E25" t="s">
        <v>143</v>
      </c>
      <c r="F25">
        <v>5730</v>
      </c>
      <c r="G25" t="s">
        <v>136</v>
      </c>
      <c r="H25">
        <v>1</v>
      </c>
    </row>
    <row r="26" spans="1:8" x14ac:dyDescent="0.35">
      <c r="A26" t="s">
        <v>168</v>
      </c>
      <c r="B26" t="s">
        <v>142</v>
      </c>
      <c r="C26" s="2">
        <v>45050</v>
      </c>
      <c r="D26" s="2">
        <v>45057</v>
      </c>
      <c r="E26" t="s">
        <v>135</v>
      </c>
      <c r="F26">
        <v>48063</v>
      </c>
      <c r="G26" t="s">
        <v>145</v>
      </c>
      <c r="H26">
        <v>7</v>
      </c>
    </row>
    <row r="27" spans="1:8" x14ac:dyDescent="0.35">
      <c r="A27" t="s">
        <v>169</v>
      </c>
      <c r="B27" t="s">
        <v>134</v>
      </c>
      <c r="C27" s="2">
        <v>45211</v>
      </c>
      <c r="D27" s="2">
        <v>45213</v>
      </c>
      <c r="E27" t="s">
        <v>135</v>
      </c>
      <c r="F27">
        <v>12868</v>
      </c>
      <c r="G27" t="s">
        <v>136</v>
      </c>
      <c r="H27">
        <v>2</v>
      </c>
    </row>
    <row r="28" spans="1:8" x14ac:dyDescent="0.35">
      <c r="A28" t="s">
        <v>170</v>
      </c>
      <c r="B28" t="s">
        <v>147</v>
      </c>
      <c r="C28" s="2">
        <v>45081</v>
      </c>
      <c r="D28" s="2">
        <v>45090</v>
      </c>
      <c r="E28" t="s">
        <v>138</v>
      </c>
      <c r="F28">
        <v>31361</v>
      </c>
      <c r="G28" t="s">
        <v>136</v>
      </c>
      <c r="H28">
        <v>9</v>
      </c>
    </row>
    <row r="29" spans="1:8" x14ac:dyDescent="0.35">
      <c r="A29" t="s">
        <v>171</v>
      </c>
      <c r="B29" t="s">
        <v>140</v>
      </c>
      <c r="C29" s="2">
        <v>44982</v>
      </c>
      <c r="D29" s="2">
        <v>44988</v>
      </c>
      <c r="E29" t="s">
        <v>135</v>
      </c>
      <c r="F29">
        <v>5861</v>
      </c>
      <c r="G29" t="s">
        <v>145</v>
      </c>
      <c r="H29">
        <v>6</v>
      </c>
    </row>
    <row r="30" spans="1:8" x14ac:dyDescent="0.35">
      <c r="A30" t="s">
        <v>172</v>
      </c>
      <c r="B30" t="s">
        <v>158</v>
      </c>
      <c r="C30" s="2">
        <v>45236</v>
      </c>
      <c r="D30" s="2">
        <v>45245</v>
      </c>
      <c r="E30" t="s">
        <v>148</v>
      </c>
      <c r="F30">
        <v>30084</v>
      </c>
      <c r="G30" t="s">
        <v>136</v>
      </c>
      <c r="H30">
        <v>9</v>
      </c>
    </row>
    <row r="31" spans="1:8" x14ac:dyDescent="0.35">
      <c r="A31" t="s">
        <v>173</v>
      </c>
      <c r="B31" t="s">
        <v>142</v>
      </c>
      <c r="C31" s="2">
        <v>45250</v>
      </c>
      <c r="D31" s="2">
        <v>45253</v>
      </c>
      <c r="E31" t="s">
        <v>148</v>
      </c>
      <c r="F31">
        <v>13255</v>
      </c>
      <c r="G31" t="s">
        <v>136</v>
      </c>
      <c r="H31">
        <v>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1FDE-FFBA-43FF-B261-1EB54A59254F}">
  <dimension ref="A3:B8"/>
  <sheetViews>
    <sheetView workbookViewId="0">
      <selection activeCell="B3" sqref="B3"/>
    </sheetView>
  </sheetViews>
  <sheetFormatPr defaultRowHeight="14.5" x14ac:dyDescent="0.35"/>
  <cols>
    <col min="1" max="1" width="12.36328125" bestFit="1" customWidth="1"/>
    <col min="2" max="2" width="14.36328125" bestFit="1" customWidth="1"/>
  </cols>
  <sheetData>
    <row r="3" spans="1:2" x14ac:dyDescent="0.35">
      <c r="A3" s="3" t="s">
        <v>174</v>
      </c>
      <c r="B3" t="s">
        <v>176</v>
      </c>
    </row>
    <row r="4" spans="1:2" x14ac:dyDescent="0.35">
      <c r="A4" s="4" t="s">
        <v>19</v>
      </c>
      <c r="B4" s="5">
        <v>45230</v>
      </c>
    </row>
    <row r="5" spans="1:2" x14ac:dyDescent="0.35">
      <c r="A5" s="4" t="s">
        <v>15</v>
      </c>
      <c r="B5" s="5">
        <v>55780</v>
      </c>
    </row>
    <row r="6" spans="1:2" x14ac:dyDescent="0.35">
      <c r="A6" s="4" t="s">
        <v>12</v>
      </c>
      <c r="B6" s="5">
        <v>90109</v>
      </c>
    </row>
    <row r="7" spans="1:2" x14ac:dyDescent="0.35">
      <c r="A7" s="4" t="s">
        <v>8</v>
      </c>
      <c r="B7" s="5">
        <v>30719</v>
      </c>
    </row>
    <row r="8" spans="1:2" x14ac:dyDescent="0.35">
      <c r="A8" s="4" t="s">
        <v>175</v>
      </c>
      <c r="B8" s="5">
        <v>221838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350D-E638-4B1D-AC1A-0C675F0F5A87}">
  <dimension ref="A3:C9"/>
  <sheetViews>
    <sheetView workbookViewId="0">
      <selection activeCell="A3" sqref="A3"/>
    </sheetView>
  </sheetViews>
  <sheetFormatPr defaultRowHeight="14.5" x14ac:dyDescent="0.35"/>
  <cols>
    <col min="1" max="1" width="12.36328125" bestFit="1" customWidth="1"/>
    <col min="2" max="2" width="14.36328125" bestFit="1" customWidth="1"/>
    <col min="3" max="3" width="11.81640625" bestFit="1" customWidth="1"/>
  </cols>
  <sheetData>
    <row r="3" spans="1:3" x14ac:dyDescent="0.35">
      <c r="A3" s="3" t="s">
        <v>174</v>
      </c>
      <c r="B3" t="s">
        <v>176</v>
      </c>
      <c r="C3" t="s">
        <v>177</v>
      </c>
    </row>
    <row r="4" spans="1:3" x14ac:dyDescent="0.35">
      <c r="A4" s="4" t="s">
        <v>11</v>
      </c>
      <c r="B4" s="5">
        <v>32796</v>
      </c>
      <c r="C4" s="5">
        <v>6559.2000000000007</v>
      </c>
    </row>
    <row r="5" spans="1:3" x14ac:dyDescent="0.35">
      <c r="A5" s="4" t="s">
        <v>9</v>
      </c>
      <c r="B5" s="5">
        <v>57952</v>
      </c>
      <c r="C5" s="5">
        <v>11590.4</v>
      </c>
    </row>
    <row r="6" spans="1:3" x14ac:dyDescent="0.35">
      <c r="A6" s="4" t="s">
        <v>20</v>
      </c>
      <c r="B6" s="5">
        <v>11790</v>
      </c>
      <c r="C6" s="5">
        <v>2358</v>
      </c>
    </row>
    <row r="7" spans="1:3" x14ac:dyDescent="0.35">
      <c r="A7" s="4" t="s">
        <v>16</v>
      </c>
      <c r="B7" s="5">
        <v>15208</v>
      </c>
      <c r="C7" s="5">
        <v>3041.6</v>
      </c>
    </row>
    <row r="8" spans="1:3" x14ac:dyDescent="0.35">
      <c r="A8" s="4" t="s">
        <v>13</v>
      </c>
      <c r="B8" s="5">
        <v>104092</v>
      </c>
      <c r="C8" s="5">
        <v>20818.400000000001</v>
      </c>
    </row>
    <row r="9" spans="1:3" x14ac:dyDescent="0.35">
      <c r="A9" s="4" t="s">
        <v>175</v>
      </c>
      <c r="B9" s="5">
        <v>221838</v>
      </c>
      <c r="C9" s="5">
        <v>44367.599999999991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442B-394C-43B4-9A3B-BFAF6EF006A2}">
  <dimension ref="A3:B16"/>
  <sheetViews>
    <sheetView workbookViewId="0">
      <selection activeCell="D3" sqref="D3"/>
    </sheetView>
  </sheetViews>
  <sheetFormatPr defaultRowHeight="14.5" x14ac:dyDescent="0.35"/>
  <cols>
    <col min="1" max="1" width="12.36328125" bestFit="1" customWidth="1"/>
    <col min="2" max="2" width="14.36328125" bestFit="1" customWidth="1"/>
    <col min="3" max="27" width="15.26953125" bestFit="1" customWidth="1"/>
    <col min="28" max="28" width="10.7265625" bestFit="1" customWidth="1"/>
  </cols>
  <sheetData>
    <row r="3" spans="1:2" x14ac:dyDescent="0.35">
      <c r="A3" s="3" t="s">
        <v>174</v>
      </c>
      <c r="B3" t="s">
        <v>176</v>
      </c>
    </row>
    <row r="4" spans="1:2" x14ac:dyDescent="0.35">
      <c r="A4" s="4" t="s">
        <v>179</v>
      </c>
      <c r="B4" s="5">
        <v>12630</v>
      </c>
    </row>
    <row r="5" spans="1:2" x14ac:dyDescent="0.35">
      <c r="A5" s="4" t="s">
        <v>180</v>
      </c>
      <c r="B5" s="5">
        <v>32151</v>
      </c>
    </row>
    <row r="6" spans="1:2" x14ac:dyDescent="0.35">
      <c r="A6" s="4" t="s">
        <v>181</v>
      </c>
      <c r="B6" s="5">
        <v>24273</v>
      </c>
    </row>
    <row r="7" spans="1:2" x14ac:dyDescent="0.35">
      <c r="A7" s="4" t="s">
        <v>182</v>
      </c>
      <c r="B7" s="5">
        <v>36244</v>
      </c>
    </row>
    <row r="8" spans="1:2" x14ac:dyDescent="0.35">
      <c r="A8" s="4" t="s">
        <v>183</v>
      </c>
      <c r="B8" s="5">
        <v>2180</v>
      </c>
    </row>
    <row r="9" spans="1:2" x14ac:dyDescent="0.35">
      <c r="A9" s="4" t="s">
        <v>184</v>
      </c>
      <c r="B9" s="5">
        <v>3780</v>
      </c>
    </row>
    <row r="10" spans="1:2" x14ac:dyDescent="0.35">
      <c r="A10" s="4" t="s">
        <v>185</v>
      </c>
      <c r="B10" s="5">
        <v>16470</v>
      </c>
    </row>
    <row r="11" spans="1:2" x14ac:dyDescent="0.35">
      <c r="A11" s="4" t="s">
        <v>186</v>
      </c>
      <c r="B11" s="5">
        <v>18614</v>
      </c>
    </row>
    <row r="12" spans="1:2" x14ac:dyDescent="0.35">
      <c r="A12" s="4" t="s">
        <v>187</v>
      </c>
      <c r="B12" s="5">
        <v>24674</v>
      </c>
    </row>
    <row r="13" spans="1:2" x14ac:dyDescent="0.35">
      <c r="A13" s="4" t="s">
        <v>188</v>
      </c>
      <c r="B13" s="5">
        <v>2670</v>
      </c>
    </row>
    <row r="14" spans="1:2" x14ac:dyDescent="0.35">
      <c r="A14" s="4" t="s">
        <v>189</v>
      </c>
      <c r="B14" s="5">
        <v>27740</v>
      </c>
    </row>
    <row r="15" spans="1:2" x14ac:dyDescent="0.35">
      <c r="A15" s="4" t="s">
        <v>190</v>
      </c>
      <c r="B15" s="5">
        <v>20412</v>
      </c>
    </row>
    <row r="16" spans="1:2" x14ac:dyDescent="0.35">
      <c r="A16" s="4" t="s">
        <v>175</v>
      </c>
      <c r="B16" s="5">
        <v>221838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841-22B4-47D4-A8CA-306B39F0CB96}">
  <dimension ref="A3:B9"/>
  <sheetViews>
    <sheetView workbookViewId="0">
      <selection activeCell="E13" sqref="E13"/>
    </sheetView>
  </sheetViews>
  <sheetFormatPr defaultRowHeight="14.5" x14ac:dyDescent="0.35"/>
  <cols>
    <col min="1" max="1" width="12.36328125" bestFit="1" customWidth="1"/>
    <col min="2" max="2" width="16.6328125" bestFit="1" customWidth="1"/>
  </cols>
  <sheetData>
    <row r="3" spans="1:2" x14ac:dyDescent="0.35">
      <c r="A3" s="3" t="s">
        <v>174</v>
      </c>
      <c r="B3" t="s">
        <v>176</v>
      </c>
    </row>
    <row r="4" spans="1:2" x14ac:dyDescent="0.35">
      <c r="A4" s="4" t="s">
        <v>18</v>
      </c>
      <c r="B4" s="5">
        <v>59194</v>
      </c>
    </row>
    <row r="5" spans="1:2" x14ac:dyDescent="0.35">
      <c r="A5" s="4" t="s">
        <v>21</v>
      </c>
      <c r="B5" s="5">
        <v>56768</v>
      </c>
    </row>
    <row r="6" spans="1:2" x14ac:dyDescent="0.35">
      <c r="A6" s="4" t="s">
        <v>10</v>
      </c>
      <c r="B6" s="5">
        <v>53895</v>
      </c>
    </row>
    <row r="7" spans="1:2" x14ac:dyDescent="0.35">
      <c r="A7" s="4" t="s">
        <v>14</v>
      </c>
      <c r="B7" s="5">
        <v>34141</v>
      </c>
    </row>
    <row r="8" spans="1:2" x14ac:dyDescent="0.35">
      <c r="A8" s="4" t="s">
        <v>17</v>
      </c>
      <c r="B8" s="5">
        <v>17840</v>
      </c>
    </row>
    <row r="9" spans="1:2" x14ac:dyDescent="0.35">
      <c r="A9" s="4" t="s">
        <v>175</v>
      </c>
      <c r="B9" s="5">
        <v>221838</v>
      </c>
    </row>
  </sheetData>
  <autoFilter ref="A3:B9" xr:uid="{D38FF841-22B4-47D4-A8CA-306B39F0CB9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F240-9DCF-4967-A14C-897F33511C08}">
  <dimension ref="A3:B16"/>
  <sheetViews>
    <sheetView showGridLines="0" workbookViewId="0">
      <selection activeCell="C2" sqref="C2"/>
    </sheetView>
  </sheetViews>
  <sheetFormatPr defaultRowHeight="14.5" x14ac:dyDescent="0.35"/>
  <cols>
    <col min="1" max="1" width="12.36328125" bestFit="1" customWidth="1"/>
    <col min="2" max="2" width="14.36328125" bestFit="1" customWidth="1"/>
    <col min="3" max="27" width="15.26953125" bestFit="1" customWidth="1"/>
    <col min="28" max="28" width="10.7265625" bestFit="1" customWidth="1"/>
  </cols>
  <sheetData>
    <row r="3" spans="1:2" x14ac:dyDescent="0.35">
      <c r="A3" t="s">
        <v>174</v>
      </c>
      <c r="B3" t="s">
        <v>176</v>
      </c>
    </row>
    <row r="4" spans="1:2" x14ac:dyDescent="0.35">
      <c r="A4" s="4" t="s">
        <v>179</v>
      </c>
      <c r="B4" s="5">
        <v>12630</v>
      </c>
    </row>
    <row r="5" spans="1:2" x14ac:dyDescent="0.35">
      <c r="A5" s="4" t="s">
        <v>180</v>
      </c>
      <c r="B5" s="5">
        <v>32151</v>
      </c>
    </row>
    <row r="6" spans="1:2" x14ac:dyDescent="0.35">
      <c r="A6" s="4" t="s">
        <v>181</v>
      </c>
      <c r="B6" s="5">
        <v>24273</v>
      </c>
    </row>
    <row r="7" spans="1:2" x14ac:dyDescent="0.35">
      <c r="A7" s="4" t="s">
        <v>182</v>
      </c>
      <c r="B7" s="5">
        <v>36244</v>
      </c>
    </row>
    <row r="8" spans="1:2" x14ac:dyDescent="0.35">
      <c r="A8" s="4" t="s">
        <v>183</v>
      </c>
      <c r="B8" s="5">
        <v>2180</v>
      </c>
    </row>
    <row r="9" spans="1:2" x14ac:dyDescent="0.35">
      <c r="A9" s="4" t="s">
        <v>184</v>
      </c>
      <c r="B9" s="5">
        <v>3780</v>
      </c>
    </row>
    <row r="10" spans="1:2" x14ac:dyDescent="0.35">
      <c r="A10" s="4" t="s">
        <v>185</v>
      </c>
      <c r="B10" s="5">
        <v>16470</v>
      </c>
    </row>
    <row r="11" spans="1:2" x14ac:dyDescent="0.35">
      <c r="A11" s="4" t="s">
        <v>186</v>
      </c>
      <c r="B11" s="5">
        <v>18614</v>
      </c>
    </row>
    <row r="12" spans="1:2" x14ac:dyDescent="0.35">
      <c r="A12" s="4" t="s">
        <v>187</v>
      </c>
      <c r="B12" s="5">
        <v>24674</v>
      </c>
    </row>
    <row r="13" spans="1:2" x14ac:dyDescent="0.35">
      <c r="A13" s="4" t="s">
        <v>188</v>
      </c>
      <c r="B13" s="5">
        <v>2670</v>
      </c>
    </row>
    <row r="14" spans="1:2" x14ac:dyDescent="0.35">
      <c r="A14" s="4" t="s">
        <v>189</v>
      </c>
      <c r="B14" s="5">
        <v>27740</v>
      </c>
    </row>
    <row r="15" spans="1:2" x14ac:dyDescent="0.35">
      <c r="A15" s="4" t="s">
        <v>190</v>
      </c>
      <c r="B15" s="5">
        <v>20412</v>
      </c>
    </row>
    <row r="16" spans="1:2" x14ac:dyDescent="0.35">
      <c r="A16" s="4" t="s">
        <v>175</v>
      </c>
      <c r="B16" s="5">
        <v>221838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2BFF-E88D-4017-AA0F-3809C8904E56}">
  <dimension ref="A3:B8"/>
  <sheetViews>
    <sheetView showGridLines="0" workbookViewId="0">
      <selection activeCell="C3" sqref="C3"/>
    </sheetView>
  </sheetViews>
  <sheetFormatPr defaultRowHeight="14.5" x14ac:dyDescent="0.35"/>
  <cols>
    <col min="1" max="1" width="12.36328125" bestFit="1" customWidth="1"/>
    <col min="2" max="2" width="14.36328125" bestFit="1" customWidth="1"/>
  </cols>
  <sheetData>
    <row r="3" spans="1:2" x14ac:dyDescent="0.35">
      <c r="A3" t="s">
        <v>174</v>
      </c>
      <c r="B3" t="s">
        <v>176</v>
      </c>
    </row>
    <row r="4" spans="1:2" x14ac:dyDescent="0.35">
      <c r="A4" s="4" t="s">
        <v>19</v>
      </c>
      <c r="B4" s="5">
        <v>45230</v>
      </c>
    </row>
    <row r="5" spans="1:2" x14ac:dyDescent="0.35">
      <c r="A5" s="4" t="s">
        <v>15</v>
      </c>
      <c r="B5" s="5">
        <v>55780</v>
      </c>
    </row>
    <row r="6" spans="1:2" x14ac:dyDescent="0.35">
      <c r="A6" s="4" t="s">
        <v>12</v>
      </c>
      <c r="B6" s="5">
        <v>90109</v>
      </c>
    </row>
    <row r="7" spans="1:2" x14ac:dyDescent="0.35">
      <c r="A7" s="4" t="s">
        <v>8</v>
      </c>
      <c r="B7" s="5">
        <v>30719</v>
      </c>
    </row>
    <row r="8" spans="1:2" x14ac:dyDescent="0.35">
      <c r="A8" s="4" t="s">
        <v>175</v>
      </c>
      <c r="B8" s="5">
        <v>221838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F89-CB75-4CDA-8FDD-45ECD0220915}">
  <dimension ref="A3:B9"/>
  <sheetViews>
    <sheetView workbookViewId="0">
      <selection activeCell="B3" sqref="B3"/>
    </sheetView>
  </sheetViews>
  <sheetFormatPr defaultRowHeight="14.5" x14ac:dyDescent="0.35"/>
  <cols>
    <col min="1" max="1" width="12.36328125" bestFit="1" customWidth="1"/>
    <col min="2" max="2" width="16.6328125" bestFit="1" customWidth="1"/>
  </cols>
  <sheetData>
    <row r="3" spans="1:2" x14ac:dyDescent="0.35">
      <c r="A3" s="3" t="s">
        <v>174</v>
      </c>
      <c r="B3" t="s">
        <v>176</v>
      </c>
    </row>
    <row r="4" spans="1:2" x14ac:dyDescent="0.35">
      <c r="A4" s="4" t="s">
        <v>13</v>
      </c>
      <c r="B4" s="5">
        <v>104092</v>
      </c>
    </row>
    <row r="5" spans="1:2" x14ac:dyDescent="0.35">
      <c r="A5" s="4" t="s">
        <v>9</v>
      </c>
      <c r="B5" s="5">
        <v>57952</v>
      </c>
    </row>
    <row r="6" spans="1:2" x14ac:dyDescent="0.35">
      <c r="A6" s="4" t="s">
        <v>11</v>
      </c>
      <c r="B6" s="5">
        <v>32796</v>
      </c>
    </row>
    <row r="7" spans="1:2" x14ac:dyDescent="0.35">
      <c r="A7" s="4" t="s">
        <v>16</v>
      </c>
      <c r="B7" s="5">
        <v>15208</v>
      </c>
    </row>
    <row r="8" spans="1:2" x14ac:dyDescent="0.35">
      <c r="A8" s="4" t="s">
        <v>20</v>
      </c>
      <c r="B8" s="5">
        <v>11790</v>
      </c>
    </row>
    <row r="9" spans="1:2" x14ac:dyDescent="0.35">
      <c r="A9" s="4" t="s">
        <v>175</v>
      </c>
      <c r="B9" s="5">
        <v>221838</v>
      </c>
    </row>
  </sheetData>
  <autoFilter ref="A3:B9" xr:uid="{3D677F89-CB75-4CDA-8FDD-45ECD022091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B0DA-7BC5-49EA-BC35-1D91257265D0}">
  <dimension ref="A3:B9"/>
  <sheetViews>
    <sheetView showGridLines="0" workbookViewId="0">
      <selection activeCell="F18" sqref="F18"/>
    </sheetView>
  </sheetViews>
  <sheetFormatPr defaultRowHeight="14.5" x14ac:dyDescent="0.35"/>
  <cols>
    <col min="1" max="1" width="12.36328125" bestFit="1" customWidth="1"/>
    <col min="2" max="2" width="14.36328125" bestFit="1" customWidth="1"/>
  </cols>
  <sheetData>
    <row r="3" spans="1:2" x14ac:dyDescent="0.35">
      <c r="A3" s="3" t="s">
        <v>174</v>
      </c>
      <c r="B3" t="s">
        <v>176</v>
      </c>
    </row>
    <row r="4" spans="1:2" x14ac:dyDescent="0.35">
      <c r="A4" s="4" t="s">
        <v>11</v>
      </c>
      <c r="B4" s="5">
        <v>32796</v>
      </c>
    </row>
    <row r="5" spans="1:2" x14ac:dyDescent="0.35">
      <c r="A5" s="4" t="s">
        <v>9</v>
      </c>
      <c r="B5" s="5">
        <v>57952</v>
      </c>
    </row>
    <row r="6" spans="1:2" x14ac:dyDescent="0.35">
      <c r="A6" s="4" t="s">
        <v>20</v>
      </c>
      <c r="B6" s="5">
        <v>11790</v>
      </c>
    </row>
    <row r="7" spans="1:2" x14ac:dyDescent="0.35">
      <c r="A7" s="4" t="s">
        <v>16</v>
      </c>
      <c r="B7" s="5">
        <v>15208</v>
      </c>
    </row>
    <row r="8" spans="1:2" x14ac:dyDescent="0.35">
      <c r="A8" s="4" t="s">
        <v>13</v>
      </c>
      <c r="B8" s="5">
        <v>104092</v>
      </c>
    </row>
    <row r="9" spans="1:2" x14ac:dyDescent="0.35">
      <c r="A9" s="4" t="s">
        <v>175</v>
      </c>
      <c r="B9" s="5">
        <v>221838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7F4-5C25-42DA-A265-361539B198A4}">
  <dimension ref="A1:B8"/>
  <sheetViews>
    <sheetView workbookViewId="0">
      <selection activeCell="A3" sqref="A3"/>
    </sheetView>
  </sheetViews>
  <sheetFormatPr defaultRowHeight="14.5" x14ac:dyDescent="0.35"/>
  <cols>
    <col min="1" max="1" width="12.36328125" bestFit="1" customWidth="1"/>
    <col min="2" max="2" width="19.1796875" bestFit="1" customWidth="1"/>
  </cols>
  <sheetData>
    <row r="1" spans="1:2" x14ac:dyDescent="0.35">
      <c r="A1" s="3" t="s">
        <v>28</v>
      </c>
      <c r="B1" t="s" vm="1">
        <v>38</v>
      </c>
    </row>
    <row r="3" spans="1:2" x14ac:dyDescent="0.35">
      <c r="A3" s="3" t="s">
        <v>174</v>
      </c>
      <c r="B3" t="s">
        <v>191</v>
      </c>
    </row>
    <row r="4" spans="1:2" x14ac:dyDescent="0.35">
      <c r="A4" s="4" t="s">
        <v>31</v>
      </c>
      <c r="B4" s="5">
        <v>2</v>
      </c>
    </row>
    <row r="5" spans="1:2" x14ac:dyDescent="0.35">
      <c r="A5" s="4" t="s">
        <v>35</v>
      </c>
      <c r="B5" s="5">
        <v>5</v>
      </c>
    </row>
    <row r="6" spans="1:2" x14ac:dyDescent="0.35">
      <c r="A6" s="4" t="s">
        <v>46</v>
      </c>
      <c r="B6" s="5">
        <v>1</v>
      </c>
    </row>
    <row r="7" spans="1:2" x14ac:dyDescent="0.35">
      <c r="A7" s="4" t="s">
        <v>49</v>
      </c>
      <c r="B7" s="5">
        <v>2</v>
      </c>
    </row>
    <row r="8" spans="1:2" x14ac:dyDescent="0.35">
      <c r="A8" s="4" t="s">
        <v>175</v>
      </c>
      <c r="B8" s="5">
        <v>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4D9A-EE91-41C9-90D7-E570087E89EB}">
  <dimension ref="A1:D10"/>
  <sheetViews>
    <sheetView workbookViewId="0">
      <selection activeCell="A3" sqref="A3"/>
    </sheetView>
  </sheetViews>
  <sheetFormatPr defaultRowHeight="14.5" x14ac:dyDescent="0.35"/>
  <cols>
    <col min="1" max="1" width="19.1796875" bestFit="1" customWidth="1"/>
    <col min="2" max="2" width="15.26953125" bestFit="1" customWidth="1"/>
    <col min="3" max="3" width="5" bestFit="1" customWidth="1"/>
    <col min="4" max="4" width="10.7265625" bestFit="1" customWidth="1"/>
  </cols>
  <sheetData>
    <row r="1" spans="1:4" x14ac:dyDescent="0.35">
      <c r="A1" s="3" t="s">
        <v>28</v>
      </c>
      <c r="B1" t="s" vm="2">
        <v>33</v>
      </c>
    </row>
    <row r="3" spans="1:4" x14ac:dyDescent="0.35">
      <c r="A3" s="3" t="s">
        <v>191</v>
      </c>
      <c r="B3" s="3" t="s">
        <v>178</v>
      </c>
    </row>
    <row r="4" spans="1:4" x14ac:dyDescent="0.35">
      <c r="A4" s="3" t="s">
        <v>174</v>
      </c>
      <c r="B4" t="s">
        <v>32</v>
      </c>
      <c r="C4" t="s">
        <v>37</v>
      </c>
      <c r="D4" t="s">
        <v>175</v>
      </c>
    </row>
    <row r="5" spans="1:4" x14ac:dyDescent="0.35">
      <c r="A5" s="4" t="s">
        <v>43</v>
      </c>
      <c r="B5" s="5">
        <v>2</v>
      </c>
      <c r="C5" s="5">
        <v>6</v>
      </c>
      <c r="D5" s="5">
        <v>8</v>
      </c>
    </row>
    <row r="6" spans="1:4" x14ac:dyDescent="0.35">
      <c r="A6" s="4" t="s">
        <v>31</v>
      </c>
      <c r="B6" s="5">
        <v>1</v>
      </c>
      <c r="C6" s="5">
        <v>1</v>
      </c>
      <c r="D6" s="5">
        <v>2</v>
      </c>
    </row>
    <row r="7" spans="1:4" x14ac:dyDescent="0.35">
      <c r="A7" s="4" t="s">
        <v>35</v>
      </c>
      <c r="B7" s="5">
        <v>2</v>
      </c>
      <c r="C7" s="5"/>
      <c r="D7" s="5">
        <v>2</v>
      </c>
    </row>
    <row r="8" spans="1:4" x14ac:dyDescent="0.35">
      <c r="A8" s="4" t="s">
        <v>46</v>
      </c>
      <c r="B8" s="5">
        <v>1</v>
      </c>
      <c r="C8" s="5">
        <v>3</v>
      </c>
      <c r="D8" s="5">
        <v>4</v>
      </c>
    </row>
    <row r="9" spans="1:4" x14ac:dyDescent="0.35">
      <c r="A9" s="4" t="s">
        <v>49</v>
      </c>
      <c r="B9" s="5">
        <v>3</v>
      </c>
      <c r="C9" s="5">
        <v>1</v>
      </c>
      <c r="D9" s="5">
        <v>4</v>
      </c>
    </row>
    <row r="10" spans="1:4" x14ac:dyDescent="0.35">
      <c r="A10" s="4" t="s">
        <v>175</v>
      </c>
      <c r="B10" s="5">
        <v>9</v>
      </c>
      <c r="C10" s="5">
        <v>11</v>
      </c>
      <c r="D10" s="5">
        <v>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E2A3-6A5E-44D5-BCAD-9C359632F15A}">
  <dimension ref="A3:C9"/>
  <sheetViews>
    <sheetView workbookViewId="0">
      <selection activeCell="B4" sqref="B4:C9"/>
    </sheetView>
  </sheetViews>
  <sheetFormatPr defaultRowHeight="14.5" x14ac:dyDescent="0.35"/>
  <cols>
    <col min="1" max="1" width="12.36328125" bestFit="1" customWidth="1"/>
    <col min="2" max="2" width="13.36328125" bestFit="1" customWidth="1"/>
    <col min="3" max="3" width="15.26953125" bestFit="1" customWidth="1"/>
  </cols>
  <sheetData>
    <row r="3" spans="1:3" x14ac:dyDescent="0.35">
      <c r="A3" s="3" t="s">
        <v>174</v>
      </c>
      <c r="B3" t="s">
        <v>192</v>
      </c>
      <c r="C3" t="s">
        <v>193</v>
      </c>
    </row>
    <row r="4" spans="1:3" x14ac:dyDescent="0.35">
      <c r="A4" s="4" t="s">
        <v>43</v>
      </c>
      <c r="B4" s="9">
        <v>34.75</v>
      </c>
      <c r="C4" s="9">
        <v>71203.75</v>
      </c>
    </row>
    <row r="5" spans="1:3" x14ac:dyDescent="0.35">
      <c r="A5" s="4" t="s">
        <v>31</v>
      </c>
      <c r="B5" s="9">
        <v>35</v>
      </c>
      <c r="C5" s="9">
        <v>67847</v>
      </c>
    </row>
    <row r="6" spans="1:3" x14ac:dyDescent="0.35">
      <c r="A6" s="4" t="s">
        <v>35</v>
      </c>
      <c r="B6" s="9">
        <v>37.428571428571431</v>
      </c>
      <c r="C6" s="9">
        <v>60920.857142857145</v>
      </c>
    </row>
    <row r="7" spans="1:3" x14ac:dyDescent="0.35">
      <c r="A7" s="4" t="s">
        <v>46</v>
      </c>
      <c r="B7" s="9">
        <v>33.200000000000003</v>
      </c>
      <c r="C7" s="9">
        <v>67311.399999999994</v>
      </c>
    </row>
    <row r="8" spans="1:3" x14ac:dyDescent="0.35">
      <c r="A8" s="4" t="s">
        <v>49</v>
      </c>
      <c r="B8" s="9">
        <v>39.666666666666664</v>
      </c>
      <c r="C8" s="9">
        <v>67625.833333333328</v>
      </c>
    </row>
    <row r="9" spans="1:3" x14ac:dyDescent="0.35">
      <c r="A9" s="4" t="s">
        <v>175</v>
      </c>
      <c r="B9" s="9">
        <v>36.133333333333333</v>
      </c>
      <c r="C9" s="9">
        <v>66992.53333333334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8A87E-BB31-4DD6-B1FD-869AB9BAD935}">
  <dimension ref="A1:B10"/>
  <sheetViews>
    <sheetView workbookViewId="0">
      <selection activeCell="A7" sqref="A7"/>
    </sheetView>
  </sheetViews>
  <sheetFormatPr defaultRowHeight="14.5" x14ac:dyDescent="0.35"/>
  <cols>
    <col min="1" max="1" width="12.36328125" bestFit="1" customWidth="1"/>
    <col min="2" max="2" width="19.1796875" bestFit="1" customWidth="1"/>
  </cols>
  <sheetData>
    <row r="1" spans="1:2" x14ac:dyDescent="0.35">
      <c r="A1" s="3" t="s">
        <v>28</v>
      </c>
      <c r="B1" t="s" vm="2">
        <v>33</v>
      </c>
    </row>
    <row r="3" spans="1:2" x14ac:dyDescent="0.35">
      <c r="A3" s="3" t="s">
        <v>174</v>
      </c>
      <c r="B3" t="s">
        <v>191</v>
      </c>
    </row>
    <row r="4" spans="1:2" x14ac:dyDescent="0.35">
      <c r="A4" s="4" t="s">
        <v>194</v>
      </c>
      <c r="B4" s="5">
        <v>4</v>
      </c>
    </row>
    <row r="5" spans="1:2" x14ac:dyDescent="0.35">
      <c r="A5" s="4" t="s">
        <v>195</v>
      </c>
      <c r="B5" s="5">
        <v>1</v>
      </c>
    </row>
    <row r="6" spans="1:2" x14ac:dyDescent="0.35">
      <c r="A6" s="4" t="s">
        <v>196</v>
      </c>
      <c r="B6" s="5">
        <v>5</v>
      </c>
    </row>
    <row r="7" spans="1:2" x14ac:dyDescent="0.35">
      <c r="A7" s="4" t="s">
        <v>197</v>
      </c>
      <c r="B7" s="5">
        <v>6</v>
      </c>
    </row>
    <row r="8" spans="1:2" x14ac:dyDescent="0.35">
      <c r="A8" s="4" t="s">
        <v>198</v>
      </c>
      <c r="B8" s="5">
        <v>3</v>
      </c>
    </row>
    <row r="9" spans="1:2" x14ac:dyDescent="0.35">
      <c r="A9" s="4" t="s">
        <v>199</v>
      </c>
      <c r="B9" s="5">
        <v>1</v>
      </c>
    </row>
    <row r="10" spans="1:2" x14ac:dyDescent="0.35">
      <c r="A10" s="4" t="s">
        <v>175</v>
      </c>
      <c r="B10" s="5">
        <v>20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EA5C-67B1-4000-A7FB-2230E191F2F0}">
  <dimension ref="A3:B6"/>
  <sheetViews>
    <sheetView showGridLines="0" workbookViewId="0">
      <selection activeCell="B10" sqref="B10"/>
    </sheetView>
  </sheetViews>
  <sheetFormatPr defaultRowHeight="14.5" x14ac:dyDescent="0.35"/>
  <cols>
    <col min="1" max="1" width="12.36328125" bestFit="1" customWidth="1"/>
    <col min="2" max="2" width="19.1796875" bestFit="1" customWidth="1"/>
  </cols>
  <sheetData>
    <row r="3" spans="1:2" x14ac:dyDescent="0.35">
      <c r="A3" s="3" t="s">
        <v>174</v>
      </c>
      <c r="B3" t="s">
        <v>191</v>
      </c>
    </row>
    <row r="4" spans="1:2" x14ac:dyDescent="0.35">
      <c r="A4" s="4" t="s">
        <v>32</v>
      </c>
      <c r="B4" s="5">
        <v>13</v>
      </c>
    </row>
    <row r="5" spans="1:2" x14ac:dyDescent="0.35">
      <c r="A5" s="4" t="s">
        <v>37</v>
      </c>
      <c r="B5" s="5">
        <v>17</v>
      </c>
    </row>
    <row r="6" spans="1:2" x14ac:dyDescent="0.35">
      <c r="A6" s="4" t="s">
        <v>175</v>
      </c>
      <c r="B6" s="5">
        <v>30</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360D-D895-4650-B611-0B0C19E05868}">
  <dimension ref="A1:B9"/>
  <sheetViews>
    <sheetView showGridLines="0" workbookViewId="0">
      <selection activeCell="C2" sqref="C2"/>
    </sheetView>
  </sheetViews>
  <sheetFormatPr defaultRowHeight="14.5" x14ac:dyDescent="0.35"/>
  <cols>
    <col min="1" max="1" width="12.36328125" bestFit="1" customWidth="1"/>
    <col min="2" max="2" width="19.1796875" bestFit="1" customWidth="1"/>
  </cols>
  <sheetData>
    <row r="1" spans="1:2" x14ac:dyDescent="0.35">
      <c r="A1" s="3" t="s">
        <v>28</v>
      </c>
      <c r="B1" t="s" vm="2">
        <v>33</v>
      </c>
    </row>
    <row r="3" spans="1:2" x14ac:dyDescent="0.35">
      <c r="A3" s="3" t="s">
        <v>174</v>
      </c>
      <c r="B3" t="s">
        <v>191</v>
      </c>
    </row>
    <row r="4" spans="1:2" x14ac:dyDescent="0.35">
      <c r="A4" s="4" t="s">
        <v>43</v>
      </c>
      <c r="B4" s="5">
        <v>8</v>
      </c>
    </row>
    <row r="5" spans="1:2" x14ac:dyDescent="0.35">
      <c r="A5" s="4" t="s">
        <v>31</v>
      </c>
      <c r="B5" s="5">
        <v>2</v>
      </c>
    </row>
    <row r="6" spans="1:2" x14ac:dyDescent="0.35">
      <c r="A6" s="4" t="s">
        <v>35</v>
      </c>
      <c r="B6" s="5">
        <v>2</v>
      </c>
    </row>
    <row r="7" spans="1:2" x14ac:dyDescent="0.35">
      <c r="A7" s="4" t="s">
        <v>46</v>
      </c>
      <c r="B7" s="5">
        <v>4</v>
      </c>
    </row>
    <row r="8" spans="1:2" x14ac:dyDescent="0.35">
      <c r="A8" s="4" t="s">
        <v>49</v>
      </c>
      <c r="B8" s="5">
        <v>4</v>
      </c>
    </row>
    <row r="9" spans="1:2" x14ac:dyDescent="0.35">
      <c r="A9" s="4" t="s">
        <v>175</v>
      </c>
      <c r="B9" s="5">
        <v>20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1C6E-EE4E-47F8-99F9-FC1447777D21}">
  <dimension ref="E2:F4"/>
  <sheetViews>
    <sheetView showGridLines="0" workbookViewId="0">
      <selection activeCell="F6" sqref="F6"/>
    </sheetView>
  </sheetViews>
  <sheetFormatPr defaultRowHeight="14.5" x14ac:dyDescent="0.35"/>
  <cols>
    <col min="6" max="6" width="13.7265625" customWidth="1"/>
  </cols>
  <sheetData>
    <row r="2" spans="5:6" ht="29" x14ac:dyDescent="0.35">
      <c r="E2" s="10"/>
      <c r="F2" s="11" t="s">
        <v>200</v>
      </c>
    </row>
    <row r="3" spans="5:6" x14ac:dyDescent="0.35">
      <c r="E3" s="10"/>
      <c r="F3" s="10"/>
    </row>
    <row r="4" spans="5:6" x14ac:dyDescent="0.35">
      <c r="E4" s="10"/>
      <c r="F4" s="10"/>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5F89-1289-4BAD-9A27-F479ADD087A4}">
  <dimension ref="A3:B9"/>
  <sheetViews>
    <sheetView workbookViewId="0">
      <selection activeCell="A3" sqref="A3"/>
    </sheetView>
  </sheetViews>
  <sheetFormatPr defaultRowHeight="14.5" x14ac:dyDescent="0.35"/>
  <cols>
    <col min="1" max="1" width="12.36328125" bestFit="1" customWidth="1"/>
    <col min="2" max="2" width="19.1796875" bestFit="1" customWidth="1"/>
  </cols>
  <sheetData>
    <row r="3" spans="1:2" x14ac:dyDescent="0.35">
      <c r="A3" s="3" t="s">
        <v>174</v>
      </c>
      <c r="B3" t="s">
        <v>191</v>
      </c>
    </row>
    <row r="4" spans="1:2" x14ac:dyDescent="0.35">
      <c r="A4" s="4" t="s">
        <v>43</v>
      </c>
      <c r="B4" s="5">
        <v>8</v>
      </c>
    </row>
    <row r="5" spans="1:2" x14ac:dyDescent="0.35">
      <c r="A5" s="4" t="s">
        <v>31</v>
      </c>
      <c r="B5" s="5">
        <v>4</v>
      </c>
    </row>
    <row r="6" spans="1:2" x14ac:dyDescent="0.35">
      <c r="A6" s="4" t="s">
        <v>35</v>
      </c>
      <c r="B6" s="5">
        <v>7</v>
      </c>
    </row>
    <row r="7" spans="1:2" x14ac:dyDescent="0.35">
      <c r="A7" s="4" t="s">
        <v>46</v>
      </c>
      <c r="B7" s="5">
        <v>5</v>
      </c>
    </row>
    <row r="8" spans="1:2" x14ac:dyDescent="0.35">
      <c r="A8" s="4" t="s">
        <v>49</v>
      </c>
      <c r="B8" s="5">
        <v>6</v>
      </c>
    </row>
    <row r="9" spans="1:2" x14ac:dyDescent="0.35">
      <c r="A9" s="4" t="s">
        <v>175</v>
      </c>
      <c r="B9" s="5">
        <v>30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0DC9-505F-4450-A06D-4472DEA857EF}">
  <dimension ref="A3:D34"/>
  <sheetViews>
    <sheetView topLeftCell="A16" workbookViewId="0">
      <selection activeCell="F29" sqref="F29"/>
    </sheetView>
  </sheetViews>
  <sheetFormatPr defaultRowHeight="14.5" x14ac:dyDescent="0.35"/>
  <cols>
    <col min="1" max="1" width="12.36328125" bestFit="1" customWidth="1"/>
    <col min="2" max="2" width="23.90625" bestFit="1" customWidth="1"/>
    <col min="3" max="3" width="18.6328125" bestFit="1" customWidth="1"/>
    <col min="4" max="4" width="15" bestFit="1" customWidth="1"/>
  </cols>
  <sheetData>
    <row r="3" spans="1:4" x14ac:dyDescent="0.35">
      <c r="A3" s="3" t="s">
        <v>174</v>
      </c>
      <c r="B3" t="s">
        <v>201</v>
      </c>
      <c r="C3" t="s">
        <v>202</v>
      </c>
      <c r="D3" s="6" t="s">
        <v>203</v>
      </c>
    </row>
    <row r="4" spans="1:4" x14ac:dyDescent="0.35">
      <c r="A4" s="4" t="s">
        <v>76</v>
      </c>
      <c r="B4" s="5">
        <v>84</v>
      </c>
      <c r="C4" s="5">
        <v>80</v>
      </c>
      <c r="D4">
        <f>B4-C4</f>
        <v>4</v>
      </c>
    </row>
    <row r="5" spans="1:4" x14ac:dyDescent="0.35">
      <c r="A5" s="4" t="s">
        <v>79</v>
      </c>
      <c r="B5" s="5">
        <v>28</v>
      </c>
      <c r="C5" s="5">
        <v>54</v>
      </c>
      <c r="D5">
        <f t="shared" ref="D5:D33" si="0">B5-C5</f>
        <v>-26</v>
      </c>
    </row>
    <row r="6" spans="1:4" x14ac:dyDescent="0.35">
      <c r="A6" s="4" t="s">
        <v>82</v>
      </c>
      <c r="B6" s="5">
        <v>25</v>
      </c>
      <c r="C6" s="5">
        <v>79</v>
      </c>
      <c r="D6">
        <f t="shared" si="0"/>
        <v>-54</v>
      </c>
    </row>
    <row r="7" spans="1:4" x14ac:dyDescent="0.35">
      <c r="A7" s="4" t="s">
        <v>83</v>
      </c>
      <c r="B7" s="5">
        <v>81</v>
      </c>
      <c r="C7" s="5">
        <v>75</v>
      </c>
      <c r="D7">
        <f t="shared" si="0"/>
        <v>6</v>
      </c>
    </row>
    <row r="8" spans="1:4" x14ac:dyDescent="0.35">
      <c r="A8" s="4" t="s">
        <v>85</v>
      </c>
      <c r="B8" s="5">
        <v>29</v>
      </c>
      <c r="C8" s="5">
        <v>44</v>
      </c>
      <c r="D8">
        <f t="shared" si="0"/>
        <v>-15</v>
      </c>
    </row>
    <row r="9" spans="1:4" x14ac:dyDescent="0.35">
      <c r="A9" s="4" t="s">
        <v>87</v>
      </c>
      <c r="B9" s="5">
        <v>63</v>
      </c>
      <c r="C9" s="5">
        <v>67</v>
      </c>
      <c r="D9">
        <f t="shared" si="0"/>
        <v>-4</v>
      </c>
    </row>
    <row r="10" spans="1:4" x14ac:dyDescent="0.35">
      <c r="A10" s="4" t="s">
        <v>88</v>
      </c>
      <c r="B10" s="5">
        <v>44</v>
      </c>
      <c r="C10" s="5">
        <v>64</v>
      </c>
      <c r="D10">
        <f t="shared" si="0"/>
        <v>-20</v>
      </c>
    </row>
    <row r="11" spans="1:4" x14ac:dyDescent="0.35">
      <c r="A11" s="4" t="s">
        <v>89</v>
      </c>
      <c r="B11" s="5">
        <v>91</v>
      </c>
      <c r="C11" s="5">
        <v>46</v>
      </c>
      <c r="D11">
        <f t="shared" si="0"/>
        <v>45</v>
      </c>
    </row>
    <row r="12" spans="1:4" x14ac:dyDescent="0.35">
      <c r="A12" s="4" t="s">
        <v>90</v>
      </c>
      <c r="B12" s="5">
        <v>49</v>
      </c>
      <c r="C12" s="5">
        <v>15</v>
      </c>
      <c r="D12">
        <f t="shared" si="0"/>
        <v>34</v>
      </c>
    </row>
    <row r="13" spans="1:4" x14ac:dyDescent="0.35">
      <c r="A13" s="4" t="s">
        <v>91</v>
      </c>
      <c r="B13" s="5">
        <v>62</v>
      </c>
      <c r="C13" s="5">
        <v>33</v>
      </c>
      <c r="D13">
        <f t="shared" si="0"/>
        <v>29</v>
      </c>
    </row>
    <row r="14" spans="1:4" x14ac:dyDescent="0.35">
      <c r="A14" s="4" t="s">
        <v>92</v>
      </c>
      <c r="B14" s="5">
        <v>67</v>
      </c>
      <c r="C14" s="5">
        <v>63</v>
      </c>
      <c r="D14">
        <f t="shared" si="0"/>
        <v>4</v>
      </c>
    </row>
    <row r="15" spans="1:4" x14ac:dyDescent="0.35">
      <c r="A15" s="4" t="s">
        <v>93</v>
      </c>
      <c r="B15" s="5">
        <v>63</v>
      </c>
      <c r="C15" s="5">
        <v>72</v>
      </c>
      <c r="D15">
        <f t="shared" si="0"/>
        <v>-9</v>
      </c>
    </row>
    <row r="16" spans="1:4" x14ac:dyDescent="0.35">
      <c r="A16" s="4" t="s">
        <v>94</v>
      </c>
      <c r="B16" s="5">
        <v>68</v>
      </c>
      <c r="C16" s="5">
        <v>55</v>
      </c>
      <c r="D16">
        <f t="shared" si="0"/>
        <v>13</v>
      </c>
    </row>
    <row r="17" spans="1:4" x14ac:dyDescent="0.35">
      <c r="A17" s="4" t="s">
        <v>95</v>
      </c>
      <c r="B17" s="5">
        <v>26</v>
      </c>
      <c r="C17" s="5">
        <v>32</v>
      </c>
      <c r="D17">
        <f t="shared" si="0"/>
        <v>-6</v>
      </c>
    </row>
    <row r="18" spans="1:4" x14ac:dyDescent="0.35">
      <c r="A18" s="4" t="s">
        <v>96</v>
      </c>
      <c r="B18" s="5">
        <v>50</v>
      </c>
      <c r="C18" s="5">
        <v>66</v>
      </c>
      <c r="D18">
        <f t="shared" si="0"/>
        <v>-16</v>
      </c>
    </row>
    <row r="19" spans="1:4" x14ac:dyDescent="0.35">
      <c r="A19" s="4" t="s">
        <v>97</v>
      </c>
      <c r="B19" s="5">
        <v>65</v>
      </c>
      <c r="C19" s="5">
        <v>36</v>
      </c>
      <c r="D19">
        <f t="shared" si="0"/>
        <v>29</v>
      </c>
    </row>
    <row r="20" spans="1:4" x14ac:dyDescent="0.35">
      <c r="A20" s="4" t="s">
        <v>98</v>
      </c>
      <c r="B20" s="5">
        <v>25</v>
      </c>
      <c r="C20" s="5">
        <v>10</v>
      </c>
      <c r="D20">
        <f t="shared" si="0"/>
        <v>15</v>
      </c>
    </row>
    <row r="21" spans="1:4" x14ac:dyDescent="0.35">
      <c r="A21" s="4" t="s">
        <v>99</v>
      </c>
      <c r="B21" s="5">
        <v>70</v>
      </c>
      <c r="C21" s="5">
        <v>22</v>
      </c>
      <c r="D21">
        <f t="shared" si="0"/>
        <v>48</v>
      </c>
    </row>
    <row r="22" spans="1:4" x14ac:dyDescent="0.35">
      <c r="A22" s="4" t="s">
        <v>100</v>
      </c>
      <c r="B22" s="5">
        <v>21</v>
      </c>
      <c r="C22" s="5">
        <v>56</v>
      </c>
      <c r="D22">
        <f t="shared" si="0"/>
        <v>-35</v>
      </c>
    </row>
    <row r="23" spans="1:4" x14ac:dyDescent="0.35">
      <c r="A23" s="4" t="s">
        <v>101</v>
      </c>
      <c r="B23" s="5">
        <v>28</v>
      </c>
      <c r="C23" s="5">
        <v>40</v>
      </c>
      <c r="D23">
        <f t="shared" si="0"/>
        <v>-12</v>
      </c>
    </row>
    <row r="24" spans="1:4" x14ac:dyDescent="0.35">
      <c r="A24" s="4" t="s">
        <v>102</v>
      </c>
      <c r="B24" s="5">
        <v>66</v>
      </c>
      <c r="C24" s="5">
        <v>46</v>
      </c>
      <c r="D24">
        <f t="shared" si="0"/>
        <v>20</v>
      </c>
    </row>
    <row r="25" spans="1:4" x14ac:dyDescent="0.35">
      <c r="A25" s="4" t="s">
        <v>103</v>
      </c>
      <c r="B25" s="5">
        <v>59</v>
      </c>
      <c r="C25" s="5">
        <v>20</v>
      </c>
      <c r="D25">
        <f t="shared" si="0"/>
        <v>39</v>
      </c>
    </row>
    <row r="26" spans="1:4" x14ac:dyDescent="0.35">
      <c r="A26" s="4" t="s">
        <v>104</v>
      </c>
      <c r="B26" s="5">
        <v>70</v>
      </c>
      <c r="C26" s="5">
        <v>56</v>
      </c>
      <c r="D26">
        <f t="shared" si="0"/>
        <v>14</v>
      </c>
    </row>
    <row r="27" spans="1:4" x14ac:dyDescent="0.35">
      <c r="A27" s="4" t="s">
        <v>105</v>
      </c>
      <c r="B27" s="5">
        <v>47</v>
      </c>
      <c r="C27" s="5">
        <v>68</v>
      </c>
      <c r="D27">
        <f t="shared" si="0"/>
        <v>-21</v>
      </c>
    </row>
    <row r="28" spans="1:4" x14ac:dyDescent="0.35">
      <c r="A28" s="4" t="s">
        <v>106</v>
      </c>
      <c r="B28" s="5">
        <v>57</v>
      </c>
      <c r="C28" s="5">
        <v>68</v>
      </c>
      <c r="D28">
        <f t="shared" si="0"/>
        <v>-11</v>
      </c>
    </row>
    <row r="29" spans="1:4" x14ac:dyDescent="0.35">
      <c r="A29" s="4" t="s">
        <v>107</v>
      </c>
      <c r="B29" s="5">
        <v>75</v>
      </c>
      <c r="C29" s="5">
        <v>70</v>
      </c>
      <c r="D29">
        <f t="shared" si="0"/>
        <v>5</v>
      </c>
    </row>
    <row r="30" spans="1:4" x14ac:dyDescent="0.35">
      <c r="A30" s="4" t="s">
        <v>108</v>
      </c>
      <c r="B30" s="5">
        <v>39</v>
      </c>
      <c r="C30" s="5">
        <v>61</v>
      </c>
      <c r="D30">
        <f t="shared" si="0"/>
        <v>-22</v>
      </c>
    </row>
    <row r="31" spans="1:4" x14ac:dyDescent="0.35">
      <c r="A31" s="4" t="s">
        <v>109</v>
      </c>
      <c r="B31" s="5">
        <v>46</v>
      </c>
      <c r="C31" s="5">
        <v>68</v>
      </c>
      <c r="D31">
        <f t="shared" si="0"/>
        <v>-22</v>
      </c>
    </row>
    <row r="32" spans="1:4" x14ac:dyDescent="0.35">
      <c r="A32" s="4" t="s">
        <v>110</v>
      </c>
      <c r="B32" s="5">
        <v>44</v>
      </c>
      <c r="C32" s="5">
        <v>49</v>
      </c>
      <c r="D32">
        <f t="shared" si="0"/>
        <v>-5</v>
      </c>
    </row>
    <row r="33" spans="1:4" x14ac:dyDescent="0.35">
      <c r="A33" s="4" t="s">
        <v>111</v>
      </c>
      <c r="B33" s="5">
        <v>77</v>
      </c>
      <c r="C33" s="5">
        <v>29</v>
      </c>
      <c r="D33">
        <f t="shared" si="0"/>
        <v>48</v>
      </c>
    </row>
    <row r="34" spans="1:4" x14ac:dyDescent="0.35">
      <c r="A34" s="4" t="s">
        <v>175</v>
      </c>
      <c r="B34" s="5">
        <v>1619</v>
      </c>
      <c r="C34" s="5">
        <v>1544</v>
      </c>
      <c r="D34" s="1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D09F-1057-45EE-8AAC-E6D4253B8C09}">
  <dimension ref="A3:B7"/>
  <sheetViews>
    <sheetView workbookViewId="0">
      <selection activeCell="A3" sqref="A3"/>
    </sheetView>
  </sheetViews>
  <sheetFormatPr defaultRowHeight="14.5" x14ac:dyDescent="0.35"/>
  <cols>
    <col min="1" max="1" width="12.36328125" bestFit="1" customWidth="1"/>
    <col min="2" max="2" width="18.1796875" bestFit="1" customWidth="1"/>
  </cols>
  <sheetData>
    <row r="3" spans="1:2" x14ac:dyDescent="0.35">
      <c r="A3" s="3" t="s">
        <v>174</v>
      </c>
      <c r="B3" t="s">
        <v>204</v>
      </c>
    </row>
    <row r="4" spans="1:2" x14ac:dyDescent="0.35">
      <c r="A4" s="4" t="s">
        <v>77</v>
      </c>
      <c r="B4" s="5">
        <v>1874</v>
      </c>
    </row>
    <row r="5" spans="1:2" x14ac:dyDescent="0.35">
      <c r="A5" s="4" t="s">
        <v>80</v>
      </c>
      <c r="B5" s="5">
        <v>592</v>
      </c>
    </row>
    <row r="6" spans="1:2" x14ac:dyDescent="0.35">
      <c r="A6" s="4" t="s">
        <v>86</v>
      </c>
      <c r="B6" s="5">
        <v>1343</v>
      </c>
    </row>
    <row r="7" spans="1:2" x14ac:dyDescent="0.35">
      <c r="A7" s="4" t="s">
        <v>175</v>
      </c>
      <c r="B7" s="5">
        <v>3809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7EC3-42A4-4ABF-845B-D0BC5E2D9480}">
  <dimension ref="A3:B34"/>
  <sheetViews>
    <sheetView workbookViewId="0">
      <selection activeCell="A9" sqref="A3:B34"/>
    </sheetView>
  </sheetViews>
  <sheetFormatPr defaultRowHeight="14.5" x14ac:dyDescent="0.35"/>
  <cols>
    <col min="1" max="1" width="12.36328125" bestFit="1" customWidth="1"/>
    <col min="2" max="2" width="18.6328125" bestFit="1" customWidth="1"/>
    <col min="3" max="31" width="10.453125" bestFit="1" customWidth="1"/>
    <col min="32" max="32" width="10.7265625" bestFit="1" customWidth="1"/>
  </cols>
  <sheetData>
    <row r="3" spans="1:2" x14ac:dyDescent="0.35">
      <c r="A3" s="3" t="s">
        <v>174</v>
      </c>
      <c r="B3" t="s">
        <v>202</v>
      </c>
    </row>
    <row r="4" spans="1:2" x14ac:dyDescent="0.35">
      <c r="A4" s="8" t="s">
        <v>205</v>
      </c>
      <c r="B4" s="5">
        <v>61</v>
      </c>
    </row>
    <row r="5" spans="1:2" x14ac:dyDescent="0.35">
      <c r="A5" s="8" t="s">
        <v>206</v>
      </c>
      <c r="B5" s="5">
        <v>72</v>
      </c>
    </row>
    <row r="6" spans="1:2" x14ac:dyDescent="0.35">
      <c r="A6" s="8" t="s">
        <v>207</v>
      </c>
      <c r="B6" s="5">
        <v>29</v>
      </c>
    </row>
    <row r="7" spans="1:2" x14ac:dyDescent="0.35">
      <c r="A7" s="8" t="s">
        <v>208</v>
      </c>
      <c r="B7" s="5">
        <v>63</v>
      </c>
    </row>
    <row r="8" spans="1:2" x14ac:dyDescent="0.35">
      <c r="A8" s="8" t="s">
        <v>209</v>
      </c>
      <c r="B8" s="5">
        <v>33</v>
      </c>
    </row>
    <row r="9" spans="1:2" x14ac:dyDescent="0.35">
      <c r="A9" s="8" t="s">
        <v>210</v>
      </c>
      <c r="B9" s="5">
        <v>10</v>
      </c>
    </row>
    <row r="10" spans="1:2" x14ac:dyDescent="0.35">
      <c r="A10" s="8" t="s">
        <v>211</v>
      </c>
      <c r="B10" s="5">
        <v>79</v>
      </c>
    </row>
    <row r="11" spans="1:2" x14ac:dyDescent="0.35">
      <c r="A11" s="8" t="s">
        <v>212</v>
      </c>
      <c r="B11" s="5">
        <v>68</v>
      </c>
    </row>
    <row r="12" spans="1:2" x14ac:dyDescent="0.35">
      <c r="A12" s="8" t="s">
        <v>213</v>
      </c>
      <c r="B12" s="5">
        <v>22</v>
      </c>
    </row>
    <row r="13" spans="1:2" x14ac:dyDescent="0.35">
      <c r="A13" s="8" t="s">
        <v>214</v>
      </c>
      <c r="B13" s="5">
        <v>56</v>
      </c>
    </row>
    <row r="14" spans="1:2" x14ac:dyDescent="0.35">
      <c r="A14" s="8" t="s">
        <v>215</v>
      </c>
      <c r="B14" s="5">
        <v>66</v>
      </c>
    </row>
    <row r="15" spans="1:2" x14ac:dyDescent="0.35">
      <c r="A15" s="8" t="s">
        <v>216</v>
      </c>
      <c r="B15" s="5">
        <v>55</v>
      </c>
    </row>
    <row r="16" spans="1:2" x14ac:dyDescent="0.35">
      <c r="A16" s="8" t="s">
        <v>217</v>
      </c>
      <c r="B16" s="5">
        <v>46</v>
      </c>
    </row>
    <row r="17" spans="1:2" x14ac:dyDescent="0.35">
      <c r="A17" s="8" t="s">
        <v>218</v>
      </c>
      <c r="B17" s="5">
        <v>15</v>
      </c>
    </row>
    <row r="18" spans="1:2" x14ac:dyDescent="0.35">
      <c r="A18" s="8" t="s">
        <v>219</v>
      </c>
      <c r="B18" s="5">
        <v>56</v>
      </c>
    </row>
    <row r="19" spans="1:2" x14ac:dyDescent="0.35">
      <c r="A19" s="8" t="s">
        <v>220</v>
      </c>
      <c r="B19" s="5">
        <v>70</v>
      </c>
    </row>
    <row r="20" spans="1:2" x14ac:dyDescent="0.35">
      <c r="A20" s="8" t="s">
        <v>221</v>
      </c>
      <c r="B20" s="5">
        <v>49</v>
      </c>
    </row>
    <row r="21" spans="1:2" x14ac:dyDescent="0.35">
      <c r="A21" s="8" t="s">
        <v>222</v>
      </c>
      <c r="B21" s="5">
        <v>32</v>
      </c>
    </row>
    <row r="22" spans="1:2" x14ac:dyDescent="0.35">
      <c r="A22" s="8" t="s">
        <v>223</v>
      </c>
      <c r="B22" s="5">
        <v>80</v>
      </c>
    </row>
    <row r="23" spans="1:2" x14ac:dyDescent="0.35">
      <c r="A23" s="8" t="s">
        <v>224</v>
      </c>
      <c r="B23" s="5">
        <v>40</v>
      </c>
    </row>
    <row r="24" spans="1:2" x14ac:dyDescent="0.35">
      <c r="A24" s="8" t="s">
        <v>225</v>
      </c>
      <c r="B24" s="5">
        <v>54</v>
      </c>
    </row>
    <row r="25" spans="1:2" x14ac:dyDescent="0.35">
      <c r="A25" s="8" t="s">
        <v>226</v>
      </c>
      <c r="B25" s="5">
        <v>64</v>
      </c>
    </row>
    <row r="26" spans="1:2" x14ac:dyDescent="0.35">
      <c r="A26" s="8" t="s">
        <v>227</v>
      </c>
      <c r="B26" s="5">
        <v>75</v>
      </c>
    </row>
    <row r="27" spans="1:2" x14ac:dyDescent="0.35">
      <c r="A27" s="8" t="s">
        <v>228</v>
      </c>
      <c r="B27" s="5">
        <v>46</v>
      </c>
    </row>
    <row r="28" spans="1:2" x14ac:dyDescent="0.35">
      <c r="A28" s="8" t="s">
        <v>229</v>
      </c>
      <c r="B28" s="5">
        <v>36</v>
      </c>
    </row>
    <row r="29" spans="1:2" x14ac:dyDescent="0.35">
      <c r="A29" s="8" t="s">
        <v>230</v>
      </c>
      <c r="B29" s="5">
        <v>20</v>
      </c>
    </row>
    <row r="30" spans="1:2" x14ac:dyDescent="0.35">
      <c r="A30" s="8" t="s">
        <v>231</v>
      </c>
      <c r="B30" s="5">
        <v>68</v>
      </c>
    </row>
    <row r="31" spans="1:2" x14ac:dyDescent="0.35">
      <c r="A31" s="8" t="s">
        <v>232</v>
      </c>
      <c r="B31" s="5">
        <v>67</v>
      </c>
    </row>
    <row r="32" spans="1:2" x14ac:dyDescent="0.35">
      <c r="A32" s="8" t="s">
        <v>233</v>
      </c>
      <c r="B32" s="5">
        <v>44</v>
      </c>
    </row>
    <row r="33" spans="1:2" x14ac:dyDescent="0.35">
      <c r="A33" s="8" t="s">
        <v>234</v>
      </c>
      <c r="B33" s="5">
        <v>68</v>
      </c>
    </row>
    <row r="34" spans="1:2" x14ac:dyDescent="0.35">
      <c r="A34" s="8" t="s">
        <v>175</v>
      </c>
      <c r="B34" s="5">
        <v>1544</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9164-9BCA-45C5-8AA3-8CD2A7F0684B}">
  <dimension ref="A3:B7"/>
  <sheetViews>
    <sheetView workbookViewId="0">
      <selection activeCell="B9" sqref="B9"/>
    </sheetView>
  </sheetViews>
  <sheetFormatPr defaultRowHeight="14.5" x14ac:dyDescent="0.35"/>
  <cols>
    <col min="1" max="1" width="12.36328125" bestFit="1" customWidth="1"/>
    <col min="2" max="2" width="18.1796875" bestFit="1" customWidth="1"/>
  </cols>
  <sheetData>
    <row r="3" spans="1:2" x14ac:dyDescent="0.35">
      <c r="A3" s="3" t="s">
        <v>174</v>
      </c>
      <c r="B3" t="s">
        <v>204</v>
      </c>
    </row>
    <row r="4" spans="1:2" x14ac:dyDescent="0.35">
      <c r="A4" s="4" t="s">
        <v>77</v>
      </c>
      <c r="B4" s="5">
        <v>1874</v>
      </c>
    </row>
    <row r="5" spans="1:2" x14ac:dyDescent="0.35">
      <c r="A5" s="4" t="s">
        <v>80</v>
      </c>
      <c r="B5" s="5">
        <v>592</v>
      </c>
    </row>
    <row r="6" spans="1:2" x14ac:dyDescent="0.35">
      <c r="A6" s="4" t="s">
        <v>86</v>
      </c>
      <c r="B6" s="5">
        <v>1343</v>
      </c>
    </row>
    <row r="7" spans="1:2" x14ac:dyDescent="0.35">
      <c r="A7" s="4" t="s">
        <v>175</v>
      </c>
      <c r="B7" s="5">
        <v>3809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8CE6-F931-41BE-8EEE-0728E7AF17F4}">
  <dimension ref="A1:H31"/>
  <sheetViews>
    <sheetView topLeftCell="A13" workbookViewId="0">
      <selection activeCell="I31" sqref="I31"/>
    </sheetView>
  </sheetViews>
  <sheetFormatPr defaultRowHeight="14.5" x14ac:dyDescent="0.35"/>
  <cols>
    <col min="1" max="1" width="9.7265625" bestFit="1" customWidth="1"/>
    <col min="2" max="2" width="15.453125" bestFit="1" customWidth="1"/>
    <col min="3" max="3" width="10.453125" bestFit="1" customWidth="1"/>
    <col min="4" max="4" width="12.90625" bestFit="1" customWidth="1"/>
    <col min="5" max="5" width="12.1796875" bestFit="1" customWidth="1"/>
    <col min="6" max="6" width="17.54296875" bestFit="1" customWidth="1"/>
    <col min="7" max="7" width="17.81640625" style="14" bestFit="1" customWidth="1"/>
    <col min="8" max="8" width="11.7265625" bestFit="1" customWidth="1"/>
  </cols>
  <sheetData>
    <row r="1" spans="1:8" x14ac:dyDescent="0.35">
      <c r="A1" s="1" t="s">
        <v>69</v>
      </c>
      <c r="B1" s="1" t="s">
        <v>70</v>
      </c>
      <c r="C1" s="1" t="s">
        <v>71</v>
      </c>
      <c r="D1" s="1" t="s">
        <v>72</v>
      </c>
      <c r="E1" s="1" t="s">
        <v>73</v>
      </c>
      <c r="F1" s="1" t="s">
        <v>74</v>
      </c>
      <c r="G1" s="13" t="s">
        <v>0</v>
      </c>
      <c r="H1" s="15" t="s">
        <v>75</v>
      </c>
    </row>
    <row r="2" spans="1:8" x14ac:dyDescent="0.35">
      <c r="A2" t="s">
        <v>76</v>
      </c>
      <c r="B2" t="s">
        <v>77</v>
      </c>
      <c r="C2" t="s">
        <v>78</v>
      </c>
      <c r="D2">
        <v>120</v>
      </c>
      <c r="E2">
        <v>80</v>
      </c>
      <c r="F2">
        <v>84</v>
      </c>
      <c r="G2" s="7">
        <v>45155</v>
      </c>
      <c r="H2">
        <v>124</v>
      </c>
    </row>
    <row r="3" spans="1:8" x14ac:dyDescent="0.35">
      <c r="A3" t="s">
        <v>79</v>
      </c>
      <c r="B3" t="s">
        <v>80</v>
      </c>
      <c r="C3" t="s">
        <v>81</v>
      </c>
      <c r="D3">
        <v>132</v>
      </c>
      <c r="E3">
        <v>54</v>
      </c>
      <c r="F3">
        <v>28</v>
      </c>
      <c r="G3" s="7">
        <v>45189</v>
      </c>
      <c r="H3">
        <v>106</v>
      </c>
    </row>
    <row r="4" spans="1:8" x14ac:dyDescent="0.35">
      <c r="A4" t="s">
        <v>82</v>
      </c>
      <c r="B4" t="s">
        <v>77</v>
      </c>
      <c r="C4" t="s">
        <v>78</v>
      </c>
      <c r="D4">
        <v>54</v>
      </c>
      <c r="E4">
        <v>79</v>
      </c>
      <c r="F4">
        <v>25</v>
      </c>
      <c r="G4" s="7">
        <v>44983</v>
      </c>
      <c r="H4">
        <v>0</v>
      </c>
    </row>
    <row r="5" spans="1:8" x14ac:dyDescent="0.35">
      <c r="A5" t="s">
        <v>83</v>
      </c>
      <c r="B5" t="s">
        <v>77</v>
      </c>
      <c r="C5" t="s">
        <v>84</v>
      </c>
      <c r="D5">
        <v>184</v>
      </c>
      <c r="E5">
        <v>75</v>
      </c>
      <c r="F5">
        <v>81</v>
      </c>
      <c r="G5" s="7">
        <v>45214</v>
      </c>
      <c r="H5">
        <v>190</v>
      </c>
    </row>
    <row r="6" spans="1:8" x14ac:dyDescent="0.35">
      <c r="A6" t="s">
        <v>85</v>
      </c>
      <c r="B6" t="s">
        <v>86</v>
      </c>
      <c r="C6" t="s">
        <v>78</v>
      </c>
      <c r="D6">
        <v>100</v>
      </c>
      <c r="E6">
        <v>44</v>
      </c>
      <c r="F6">
        <v>29</v>
      </c>
      <c r="G6" s="7">
        <v>45278</v>
      </c>
      <c r="H6">
        <v>85</v>
      </c>
    </row>
    <row r="7" spans="1:8" x14ac:dyDescent="0.35">
      <c r="A7" t="s">
        <v>87</v>
      </c>
      <c r="B7" t="s">
        <v>80</v>
      </c>
      <c r="C7" t="s">
        <v>81</v>
      </c>
      <c r="D7">
        <v>163</v>
      </c>
      <c r="E7">
        <v>67</v>
      </c>
      <c r="F7">
        <v>63</v>
      </c>
      <c r="G7" s="7">
        <v>45269</v>
      </c>
      <c r="H7">
        <v>159</v>
      </c>
    </row>
    <row r="8" spans="1:8" x14ac:dyDescent="0.35">
      <c r="A8" t="s">
        <v>88</v>
      </c>
      <c r="B8" t="s">
        <v>86</v>
      </c>
      <c r="C8" t="s">
        <v>78</v>
      </c>
      <c r="D8">
        <v>196</v>
      </c>
      <c r="E8">
        <v>64</v>
      </c>
      <c r="F8">
        <v>44</v>
      </c>
      <c r="G8" s="7">
        <v>45191</v>
      </c>
      <c r="H8">
        <v>176</v>
      </c>
    </row>
    <row r="9" spans="1:8" x14ac:dyDescent="0.35">
      <c r="A9" t="s">
        <v>89</v>
      </c>
      <c r="B9" t="s">
        <v>77</v>
      </c>
      <c r="C9" t="s">
        <v>81</v>
      </c>
      <c r="D9">
        <v>194</v>
      </c>
      <c r="E9">
        <v>46</v>
      </c>
      <c r="F9">
        <v>91</v>
      </c>
      <c r="G9" s="7">
        <v>45224</v>
      </c>
      <c r="H9">
        <v>239</v>
      </c>
    </row>
    <row r="10" spans="1:8" x14ac:dyDescent="0.35">
      <c r="A10" t="s">
        <v>90</v>
      </c>
      <c r="B10" t="s">
        <v>86</v>
      </c>
      <c r="C10" t="s">
        <v>78</v>
      </c>
      <c r="D10">
        <v>95</v>
      </c>
      <c r="E10">
        <v>15</v>
      </c>
      <c r="F10">
        <v>49</v>
      </c>
      <c r="G10" s="7">
        <v>45094</v>
      </c>
      <c r="H10">
        <v>129</v>
      </c>
    </row>
    <row r="11" spans="1:8" x14ac:dyDescent="0.35">
      <c r="A11" t="s">
        <v>91</v>
      </c>
      <c r="B11" t="s">
        <v>86</v>
      </c>
      <c r="C11" t="s">
        <v>81</v>
      </c>
      <c r="D11">
        <v>97</v>
      </c>
      <c r="E11">
        <v>33</v>
      </c>
      <c r="F11">
        <v>62</v>
      </c>
      <c r="G11" s="7">
        <v>44972</v>
      </c>
      <c r="H11">
        <v>126</v>
      </c>
    </row>
    <row r="12" spans="1:8" x14ac:dyDescent="0.35">
      <c r="A12" t="s">
        <v>92</v>
      </c>
      <c r="B12" t="s">
        <v>86</v>
      </c>
      <c r="C12" t="s">
        <v>81</v>
      </c>
      <c r="D12">
        <v>177</v>
      </c>
      <c r="E12">
        <v>63</v>
      </c>
      <c r="F12">
        <v>67</v>
      </c>
      <c r="G12" s="7">
        <v>44947</v>
      </c>
      <c r="H12">
        <v>181</v>
      </c>
    </row>
    <row r="13" spans="1:8" x14ac:dyDescent="0.35">
      <c r="A13" t="s">
        <v>93</v>
      </c>
      <c r="B13" t="s">
        <v>77</v>
      </c>
      <c r="C13" t="s">
        <v>81</v>
      </c>
      <c r="D13">
        <v>114</v>
      </c>
      <c r="E13">
        <v>72</v>
      </c>
      <c r="F13">
        <v>63</v>
      </c>
      <c r="G13" s="7">
        <v>44941</v>
      </c>
      <c r="H13">
        <v>105</v>
      </c>
    </row>
    <row r="14" spans="1:8" x14ac:dyDescent="0.35">
      <c r="A14" t="s">
        <v>94</v>
      </c>
      <c r="B14" t="s">
        <v>80</v>
      </c>
      <c r="C14" t="s">
        <v>81</v>
      </c>
      <c r="D14">
        <v>122</v>
      </c>
      <c r="E14">
        <v>55</v>
      </c>
      <c r="F14">
        <v>68</v>
      </c>
      <c r="G14" s="7">
        <v>45041</v>
      </c>
      <c r="H14">
        <v>135</v>
      </c>
    </row>
    <row r="15" spans="1:8" x14ac:dyDescent="0.35">
      <c r="A15" t="s">
        <v>95</v>
      </c>
      <c r="B15" t="s">
        <v>77</v>
      </c>
      <c r="C15" t="s">
        <v>81</v>
      </c>
      <c r="D15">
        <v>188</v>
      </c>
      <c r="E15">
        <v>32</v>
      </c>
      <c r="F15">
        <v>26</v>
      </c>
      <c r="G15" s="7">
        <v>45153</v>
      </c>
      <c r="H15">
        <v>182</v>
      </c>
    </row>
    <row r="16" spans="1:8" x14ac:dyDescent="0.35">
      <c r="A16" t="s">
        <v>96</v>
      </c>
      <c r="B16" t="s">
        <v>77</v>
      </c>
      <c r="C16" t="s">
        <v>78</v>
      </c>
      <c r="D16">
        <v>181</v>
      </c>
      <c r="E16">
        <v>66</v>
      </c>
      <c r="F16">
        <v>50</v>
      </c>
      <c r="G16" s="7">
        <v>45026</v>
      </c>
      <c r="H16">
        <v>165</v>
      </c>
    </row>
    <row r="17" spans="1:8" x14ac:dyDescent="0.35">
      <c r="A17" t="s">
        <v>97</v>
      </c>
      <c r="B17" t="s">
        <v>77</v>
      </c>
      <c r="C17" t="s">
        <v>84</v>
      </c>
      <c r="D17">
        <v>71</v>
      </c>
      <c r="E17">
        <v>36</v>
      </c>
      <c r="F17">
        <v>65</v>
      </c>
      <c r="G17" s="7">
        <v>45230</v>
      </c>
      <c r="H17">
        <v>100</v>
      </c>
    </row>
    <row r="18" spans="1:8" x14ac:dyDescent="0.35">
      <c r="A18" t="s">
        <v>98</v>
      </c>
      <c r="B18" t="s">
        <v>77</v>
      </c>
      <c r="C18" t="s">
        <v>84</v>
      </c>
      <c r="D18">
        <v>106</v>
      </c>
      <c r="E18">
        <v>10</v>
      </c>
      <c r="F18">
        <v>25</v>
      </c>
      <c r="G18" s="7">
        <v>44978</v>
      </c>
      <c r="H18">
        <v>121</v>
      </c>
    </row>
    <row r="19" spans="1:8" x14ac:dyDescent="0.35">
      <c r="A19" t="s">
        <v>99</v>
      </c>
      <c r="B19" t="s">
        <v>77</v>
      </c>
      <c r="C19" t="s">
        <v>78</v>
      </c>
      <c r="D19">
        <v>129</v>
      </c>
      <c r="E19">
        <v>22</v>
      </c>
      <c r="F19">
        <v>70</v>
      </c>
      <c r="G19" s="7">
        <v>45003</v>
      </c>
      <c r="H19">
        <v>177</v>
      </c>
    </row>
    <row r="20" spans="1:8" x14ac:dyDescent="0.35">
      <c r="A20" t="s">
        <v>100</v>
      </c>
      <c r="B20" t="s">
        <v>77</v>
      </c>
      <c r="C20" t="s">
        <v>78</v>
      </c>
      <c r="D20">
        <v>170</v>
      </c>
      <c r="E20">
        <v>56</v>
      </c>
      <c r="F20">
        <v>21</v>
      </c>
      <c r="G20" s="7">
        <v>45004</v>
      </c>
      <c r="H20">
        <v>135</v>
      </c>
    </row>
    <row r="21" spans="1:8" x14ac:dyDescent="0.35">
      <c r="A21" t="s">
        <v>101</v>
      </c>
      <c r="B21" t="s">
        <v>77</v>
      </c>
      <c r="C21" t="s">
        <v>78</v>
      </c>
      <c r="D21">
        <v>128</v>
      </c>
      <c r="E21">
        <v>40</v>
      </c>
      <c r="F21">
        <v>28</v>
      </c>
      <c r="G21" s="7">
        <v>45166</v>
      </c>
      <c r="H21">
        <v>116</v>
      </c>
    </row>
    <row r="22" spans="1:8" x14ac:dyDescent="0.35">
      <c r="A22" t="s">
        <v>102</v>
      </c>
      <c r="B22" t="s">
        <v>86</v>
      </c>
      <c r="C22" t="s">
        <v>78</v>
      </c>
      <c r="D22">
        <v>56</v>
      </c>
      <c r="E22">
        <v>46</v>
      </c>
      <c r="F22">
        <v>66</v>
      </c>
      <c r="G22" s="7">
        <v>45052</v>
      </c>
      <c r="H22">
        <v>76</v>
      </c>
    </row>
    <row r="23" spans="1:8" x14ac:dyDescent="0.35">
      <c r="A23" t="s">
        <v>103</v>
      </c>
      <c r="B23" t="s">
        <v>86</v>
      </c>
      <c r="C23" t="s">
        <v>78</v>
      </c>
      <c r="D23">
        <v>136</v>
      </c>
      <c r="E23">
        <v>20</v>
      </c>
      <c r="F23">
        <v>59</v>
      </c>
      <c r="G23" s="7">
        <v>45247</v>
      </c>
      <c r="H23">
        <v>175</v>
      </c>
    </row>
    <row r="24" spans="1:8" x14ac:dyDescent="0.35">
      <c r="A24" t="s">
        <v>104</v>
      </c>
      <c r="B24" t="s">
        <v>77</v>
      </c>
      <c r="C24" t="s">
        <v>81</v>
      </c>
      <c r="D24">
        <v>68</v>
      </c>
      <c r="E24">
        <v>56</v>
      </c>
      <c r="F24">
        <v>70</v>
      </c>
      <c r="G24" s="7">
        <v>45100</v>
      </c>
      <c r="H24">
        <v>82</v>
      </c>
    </row>
    <row r="25" spans="1:8" x14ac:dyDescent="0.35">
      <c r="A25" t="s">
        <v>105</v>
      </c>
      <c r="B25" t="s">
        <v>80</v>
      </c>
      <c r="C25" t="s">
        <v>84</v>
      </c>
      <c r="D25">
        <v>165</v>
      </c>
      <c r="E25">
        <v>68</v>
      </c>
      <c r="F25">
        <v>47</v>
      </c>
      <c r="G25" s="7">
        <v>45286</v>
      </c>
      <c r="H25">
        <v>144</v>
      </c>
    </row>
    <row r="26" spans="1:8" x14ac:dyDescent="0.35">
      <c r="A26" t="s">
        <v>106</v>
      </c>
      <c r="B26" t="s">
        <v>86</v>
      </c>
      <c r="C26" t="s">
        <v>81</v>
      </c>
      <c r="D26">
        <v>71</v>
      </c>
      <c r="E26">
        <v>68</v>
      </c>
      <c r="F26">
        <v>57</v>
      </c>
      <c r="G26" s="7">
        <v>44987</v>
      </c>
      <c r="H26">
        <v>60</v>
      </c>
    </row>
    <row r="27" spans="1:8" x14ac:dyDescent="0.35">
      <c r="A27" t="s">
        <v>107</v>
      </c>
      <c r="B27" t="s">
        <v>86</v>
      </c>
      <c r="C27" t="s">
        <v>84</v>
      </c>
      <c r="D27">
        <v>56</v>
      </c>
      <c r="E27">
        <v>70</v>
      </c>
      <c r="F27">
        <v>75</v>
      </c>
      <c r="G27" s="7">
        <v>45123</v>
      </c>
      <c r="H27">
        <v>61</v>
      </c>
    </row>
    <row r="28" spans="1:8" x14ac:dyDescent="0.35">
      <c r="A28" t="s">
        <v>108</v>
      </c>
      <c r="B28" t="s">
        <v>86</v>
      </c>
      <c r="C28" t="s">
        <v>84</v>
      </c>
      <c r="D28">
        <v>80</v>
      </c>
      <c r="E28">
        <v>61</v>
      </c>
      <c r="F28">
        <v>39</v>
      </c>
      <c r="G28" s="7">
        <v>44937</v>
      </c>
      <c r="H28">
        <v>58</v>
      </c>
    </row>
    <row r="29" spans="1:8" x14ac:dyDescent="0.35">
      <c r="A29" t="s">
        <v>109</v>
      </c>
      <c r="B29" t="s">
        <v>80</v>
      </c>
      <c r="C29" t="s">
        <v>81</v>
      </c>
      <c r="D29">
        <v>70</v>
      </c>
      <c r="E29">
        <v>68</v>
      </c>
      <c r="F29">
        <v>46</v>
      </c>
      <c r="G29" s="7">
        <v>45261</v>
      </c>
      <c r="H29">
        <v>48</v>
      </c>
    </row>
    <row r="30" spans="1:8" x14ac:dyDescent="0.35">
      <c r="A30" t="s">
        <v>110</v>
      </c>
      <c r="B30" t="s">
        <v>77</v>
      </c>
      <c r="C30" t="s">
        <v>78</v>
      </c>
      <c r="D30">
        <v>143</v>
      </c>
      <c r="E30">
        <v>49</v>
      </c>
      <c r="F30">
        <v>44</v>
      </c>
      <c r="G30" s="7">
        <v>45147</v>
      </c>
      <c r="H30">
        <v>138</v>
      </c>
    </row>
    <row r="31" spans="1:8" x14ac:dyDescent="0.35">
      <c r="A31" t="s">
        <v>111</v>
      </c>
      <c r="B31" t="s">
        <v>86</v>
      </c>
      <c r="C31" t="s">
        <v>84</v>
      </c>
      <c r="D31">
        <v>168</v>
      </c>
      <c r="E31">
        <v>29</v>
      </c>
      <c r="F31">
        <v>77</v>
      </c>
      <c r="G31" s="7">
        <v>44944</v>
      </c>
      <c r="H31">
        <v>216</v>
      </c>
    </row>
  </sheetData>
  <autoFilter ref="A1:H1" xr:uid="{00000000-0001-0000-0200-000000000000}"/>
  <conditionalFormatting sqref="H2:H31">
    <cfRule type="cellIs" dxfId="3" priority="1" operator="lessThan">
      <formula>100</formula>
    </cfRule>
    <cfRule type="cellIs" dxfId="2" priority="2" operator="lessThan">
      <formula>20</formula>
    </cfRule>
  </conditionalFormatting>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4478-4FD7-449C-AAC8-F68CDCD36449}">
  <dimension ref="A3:C8"/>
  <sheetViews>
    <sheetView workbookViewId="0">
      <selection activeCell="C16" sqref="C16"/>
    </sheetView>
  </sheetViews>
  <sheetFormatPr defaultRowHeight="14.5" x14ac:dyDescent="0.35"/>
  <cols>
    <col min="1" max="1" width="12.36328125" bestFit="1" customWidth="1"/>
    <col min="2" max="2" width="13.08984375" bestFit="1" customWidth="1"/>
    <col min="3" max="3" width="21.54296875" bestFit="1" customWidth="1"/>
  </cols>
  <sheetData>
    <row r="3" spans="1:3" x14ac:dyDescent="0.35">
      <c r="A3" s="3" t="s">
        <v>174</v>
      </c>
      <c r="B3" t="s">
        <v>235</v>
      </c>
      <c r="C3" t="s">
        <v>236</v>
      </c>
    </row>
    <row r="4" spans="1:3" x14ac:dyDescent="0.35">
      <c r="A4" s="4" t="s">
        <v>118</v>
      </c>
      <c r="B4" s="5">
        <v>100201</v>
      </c>
      <c r="C4" s="5">
        <v>54260</v>
      </c>
    </row>
    <row r="5" spans="1:3" x14ac:dyDescent="0.35">
      <c r="A5" s="4" t="s">
        <v>35</v>
      </c>
      <c r="B5" s="5">
        <v>86839</v>
      </c>
      <c r="C5" s="5">
        <v>48167</v>
      </c>
    </row>
    <row r="6" spans="1:3" x14ac:dyDescent="0.35">
      <c r="A6" s="4" t="s">
        <v>126</v>
      </c>
      <c r="B6" s="5">
        <v>21818</v>
      </c>
      <c r="C6" s="5">
        <v>11562</v>
      </c>
    </row>
    <row r="7" spans="1:3" x14ac:dyDescent="0.35">
      <c r="A7" s="4" t="s">
        <v>121</v>
      </c>
      <c r="B7" s="5">
        <v>82279</v>
      </c>
      <c r="C7" s="5">
        <v>40872</v>
      </c>
    </row>
    <row r="8" spans="1:3" x14ac:dyDescent="0.35">
      <c r="A8" s="4" t="s">
        <v>175</v>
      </c>
      <c r="B8" s="5">
        <v>291137</v>
      </c>
      <c r="C8" s="5">
        <v>154861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FA3E-AA8B-4B99-94A0-9E4A872DEF41}">
  <dimension ref="A3:D8"/>
  <sheetViews>
    <sheetView workbookViewId="0">
      <selection activeCell="C11" sqref="C11"/>
    </sheetView>
  </sheetViews>
  <sheetFormatPr defaultRowHeight="14.5" x14ac:dyDescent="0.35"/>
  <cols>
    <col min="1" max="1" width="12.36328125" bestFit="1" customWidth="1"/>
    <col min="2" max="2" width="21.54296875" bestFit="1" customWidth="1"/>
    <col min="3" max="3" width="13.08984375" bestFit="1" customWidth="1"/>
    <col min="4" max="4" width="13.1796875" bestFit="1" customWidth="1"/>
  </cols>
  <sheetData>
    <row r="3" spans="1:4" x14ac:dyDescent="0.35">
      <c r="A3" s="3" t="s">
        <v>174</v>
      </c>
      <c r="B3" t="s">
        <v>236</v>
      </c>
      <c r="C3" t="s">
        <v>235</v>
      </c>
      <c r="D3" s="6" t="s">
        <v>237</v>
      </c>
    </row>
    <row r="4" spans="1:4" x14ac:dyDescent="0.35">
      <c r="A4" s="4" t="s">
        <v>116</v>
      </c>
      <c r="B4" s="5">
        <v>25329</v>
      </c>
      <c r="C4" s="5">
        <v>40685</v>
      </c>
      <c r="D4" s="16">
        <f>B4/C4</f>
        <v>0.62256359837778052</v>
      </c>
    </row>
    <row r="5" spans="1:4" x14ac:dyDescent="0.35">
      <c r="A5" s="4" t="s">
        <v>124</v>
      </c>
      <c r="B5" s="5">
        <v>27706</v>
      </c>
      <c r="C5" s="5">
        <v>55463</v>
      </c>
      <c r="D5" s="16">
        <f t="shared" ref="D5:D7" si="0">B5/C5</f>
        <v>0.49954023402989378</v>
      </c>
    </row>
    <row r="6" spans="1:4" x14ac:dyDescent="0.35">
      <c r="A6" s="4" t="s">
        <v>122</v>
      </c>
      <c r="B6" s="5">
        <v>43952</v>
      </c>
      <c r="C6" s="5">
        <v>78735</v>
      </c>
      <c r="D6" s="16">
        <f t="shared" si="0"/>
        <v>0.55822696386613324</v>
      </c>
    </row>
    <row r="7" spans="1:4" x14ac:dyDescent="0.35">
      <c r="A7" s="4" t="s">
        <v>119</v>
      </c>
      <c r="B7" s="5">
        <v>57874</v>
      </c>
      <c r="C7" s="5">
        <v>116254</v>
      </c>
      <c r="D7" s="16">
        <f t="shared" si="0"/>
        <v>0.49782373079635972</v>
      </c>
    </row>
    <row r="8" spans="1:4" x14ac:dyDescent="0.35">
      <c r="A8" s="4" t="s">
        <v>175</v>
      </c>
      <c r="B8" s="5">
        <v>154861</v>
      </c>
      <c r="C8" s="5">
        <v>291137</v>
      </c>
      <c r="D8" s="17">
        <f>SUM(D4:D7)</f>
        <v>2.1781545270701672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498F-BBC2-487F-B6DD-0500D31EC2FF}">
  <dimension ref="A3:B16"/>
  <sheetViews>
    <sheetView workbookViewId="0">
      <selection activeCell="D10" sqref="D10"/>
    </sheetView>
  </sheetViews>
  <sheetFormatPr defaultRowHeight="14.5" x14ac:dyDescent="0.35"/>
  <cols>
    <col min="1" max="1" width="12.36328125" bestFit="1" customWidth="1"/>
    <col min="2" max="2" width="21.54296875" bestFit="1" customWidth="1"/>
    <col min="3" max="29" width="15.26953125" bestFit="1" customWidth="1"/>
    <col min="30" max="30" width="10.7265625" bestFit="1" customWidth="1"/>
  </cols>
  <sheetData>
    <row r="3" spans="1:2" x14ac:dyDescent="0.35">
      <c r="A3" s="3" t="s">
        <v>174</v>
      </c>
      <c r="B3" t="s">
        <v>236</v>
      </c>
    </row>
    <row r="4" spans="1:2" x14ac:dyDescent="0.35">
      <c r="A4" s="4" t="s">
        <v>179</v>
      </c>
      <c r="B4" s="5">
        <v>3137</v>
      </c>
    </row>
    <row r="5" spans="1:2" x14ac:dyDescent="0.35">
      <c r="A5" s="4" t="s">
        <v>180</v>
      </c>
      <c r="B5" s="5">
        <v>1399</v>
      </c>
    </row>
    <row r="6" spans="1:2" x14ac:dyDescent="0.35">
      <c r="A6" s="4" t="s">
        <v>181</v>
      </c>
      <c r="B6" s="5">
        <v>2771</v>
      </c>
    </row>
    <row r="7" spans="1:2" x14ac:dyDescent="0.35">
      <c r="A7" s="4" t="s">
        <v>182</v>
      </c>
      <c r="B7" s="5">
        <v>18690</v>
      </c>
    </row>
    <row r="8" spans="1:2" x14ac:dyDescent="0.35">
      <c r="A8" s="4" t="s">
        <v>183</v>
      </c>
      <c r="B8" s="5">
        <v>7390</v>
      </c>
    </row>
    <row r="9" spans="1:2" x14ac:dyDescent="0.35">
      <c r="A9" s="4" t="s">
        <v>184</v>
      </c>
      <c r="B9" s="5">
        <v>6608</v>
      </c>
    </row>
    <row r="10" spans="1:2" x14ac:dyDescent="0.35">
      <c r="A10" s="4" t="s">
        <v>185</v>
      </c>
      <c r="B10" s="5">
        <v>40058</v>
      </c>
    </row>
    <row r="11" spans="1:2" x14ac:dyDescent="0.35">
      <c r="A11" s="4" t="s">
        <v>186</v>
      </c>
      <c r="B11" s="5">
        <v>21858</v>
      </c>
    </row>
    <row r="12" spans="1:2" x14ac:dyDescent="0.35">
      <c r="A12" s="4" t="s">
        <v>187</v>
      </c>
      <c r="B12" s="5">
        <v>23100</v>
      </c>
    </row>
    <row r="13" spans="1:2" x14ac:dyDescent="0.35">
      <c r="A13" s="4" t="s">
        <v>188</v>
      </c>
      <c r="B13" s="5">
        <v>7045</v>
      </c>
    </row>
    <row r="14" spans="1:2" x14ac:dyDescent="0.35">
      <c r="A14" s="4" t="s">
        <v>189</v>
      </c>
      <c r="B14" s="5">
        <v>12382</v>
      </c>
    </row>
    <row r="15" spans="1:2" x14ac:dyDescent="0.35">
      <c r="A15" s="4" t="s">
        <v>190</v>
      </c>
      <c r="B15" s="5">
        <v>10423</v>
      </c>
    </row>
    <row r="16" spans="1:2" x14ac:dyDescent="0.35">
      <c r="A16" s="4" t="s">
        <v>175</v>
      </c>
      <c r="B16" s="5">
        <v>154861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0ADAC-6432-4EBE-BE3A-36A81DB57402}">
  <dimension ref="A3:B8"/>
  <sheetViews>
    <sheetView workbookViewId="0">
      <selection activeCell="A3" sqref="A3"/>
    </sheetView>
  </sheetViews>
  <sheetFormatPr defaultRowHeight="14.5" x14ac:dyDescent="0.35"/>
  <cols>
    <col min="1" max="1" width="12.36328125" bestFit="1" customWidth="1"/>
    <col min="2" max="2" width="21.54296875" bestFit="1" customWidth="1"/>
  </cols>
  <sheetData>
    <row r="3" spans="1:2" x14ac:dyDescent="0.35">
      <c r="A3" s="3" t="s">
        <v>174</v>
      </c>
      <c r="B3" t="s">
        <v>236</v>
      </c>
    </row>
    <row r="4" spans="1:2" x14ac:dyDescent="0.35">
      <c r="A4" s="4" t="s">
        <v>120</v>
      </c>
      <c r="B4" s="5">
        <v>44382</v>
      </c>
    </row>
    <row r="5" spans="1:2" x14ac:dyDescent="0.35">
      <c r="A5" s="4" t="s">
        <v>125</v>
      </c>
      <c r="B5" s="5">
        <v>41850</v>
      </c>
    </row>
    <row r="6" spans="1:2" x14ac:dyDescent="0.35">
      <c r="A6" s="4" t="s">
        <v>117</v>
      </c>
      <c r="B6" s="5">
        <v>42605</v>
      </c>
    </row>
    <row r="7" spans="1:2" x14ac:dyDescent="0.35">
      <c r="A7" s="4" t="s">
        <v>123</v>
      </c>
      <c r="B7" s="5">
        <v>26024</v>
      </c>
    </row>
    <row r="8" spans="1:2" x14ac:dyDescent="0.35">
      <c r="A8" s="4" t="s">
        <v>175</v>
      </c>
      <c r="B8" s="5">
        <v>154861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E0E9-0D92-48FC-8268-9EDB10FCFBEC}">
  <dimension ref="A3:C8"/>
  <sheetViews>
    <sheetView showGridLines="0" workbookViewId="0">
      <selection activeCell="B8" sqref="B8:C8"/>
    </sheetView>
  </sheetViews>
  <sheetFormatPr defaultRowHeight="14.5" x14ac:dyDescent="0.35"/>
  <cols>
    <col min="1" max="1" width="12.36328125" bestFit="1" customWidth="1"/>
    <col min="2" max="2" width="13.08984375" bestFit="1" customWidth="1"/>
    <col min="3" max="3" width="21.54296875" bestFit="1" customWidth="1"/>
    <col min="4" max="29" width="15.26953125" bestFit="1" customWidth="1"/>
    <col min="30" max="30" width="10.7265625" bestFit="1" customWidth="1"/>
  </cols>
  <sheetData>
    <row r="3" spans="1:3" x14ac:dyDescent="0.35">
      <c r="A3" s="3" t="s">
        <v>174</v>
      </c>
      <c r="B3" t="s">
        <v>235</v>
      </c>
      <c r="C3" t="s">
        <v>236</v>
      </c>
    </row>
    <row r="4" spans="1:3" x14ac:dyDescent="0.35">
      <c r="A4" s="4" t="s">
        <v>116</v>
      </c>
      <c r="B4" s="5">
        <v>40685</v>
      </c>
      <c r="C4" s="5">
        <v>25329</v>
      </c>
    </row>
    <row r="5" spans="1:3" x14ac:dyDescent="0.35">
      <c r="A5" s="4" t="s">
        <v>124</v>
      </c>
      <c r="B5" s="5">
        <v>55463</v>
      </c>
      <c r="C5" s="5">
        <v>27706</v>
      </c>
    </row>
    <row r="6" spans="1:3" x14ac:dyDescent="0.35">
      <c r="A6" s="4" t="s">
        <v>122</v>
      </c>
      <c r="B6" s="5">
        <v>78735</v>
      </c>
      <c r="C6" s="5">
        <v>43952</v>
      </c>
    </row>
    <row r="7" spans="1:3" x14ac:dyDescent="0.35">
      <c r="A7" s="4" t="s">
        <v>119</v>
      </c>
      <c r="B7" s="5">
        <v>116254</v>
      </c>
      <c r="C7" s="5">
        <v>57874</v>
      </c>
    </row>
    <row r="8" spans="1:3" x14ac:dyDescent="0.35">
      <c r="A8" s="4" t="s">
        <v>175</v>
      </c>
      <c r="B8" s="5">
        <v>291137</v>
      </c>
      <c r="C8" s="5">
        <v>154861</v>
      </c>
    </row>
  </sheetData>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226C-E685-4E2C-A78B-D7E19A4A76DB}">
  <dimension ref="A3:E8"/>
  <sheetViews>
    <sheetView workbookViewId="0">
      <selection activeCell="H14" sqref="H14"/>
    </sheetView>
  </sheetViews>
  <sheetFormatPr defaultRowHeight="14.5" x14ac:dyDescent="0.35"/>
  <cols>
    <col min="1" max="1" width="12.36328125" bestFit="1" customWidth="1"/>
    <col min="2" max="2" width="13.08984375" bestFit="1" customWidth="1"/>
    <col min="3" max="3" width="21.54296875" bestFit="1" customWidth="1"/>
    <col min="4" max="4" width="13.08984375" bestFit="1" customWidth="1"/>
    <col min="5" max="5" width="11.81640625" bestFit="1" customWidth="1"/>
  </cols>
  <sheetData>
    <row r="3" spans="1:5" x14ac:dyDescent="0.35">
      <c r="A3" s="3" t="s">
        <v>174</v>
      </c>
      <c r="B3" t="s">
        <v>235</v>
      </c>
      <c r="C3" t="s">
        <v>236</v>
      </c>
      <c r="D3" s="6" t="s">
        <v>238</v>
      </c>
    </row>
    <row r="4" spans="1:5" x14ac:dyDescent="0.35">
      <c r="A4" s="4" t="s">
        <v>116</v>
      </c>
      <c r="B4" s="5">
        <v>40685</v>
      </c>
      <c r="C4" s="5">
        <v>25329</v>
      </c>
      <c r="D4" s="16">
        <f>C4/B4</f>
        <v>0.62256359837778052</v>
      </c>
      <c r="E4" s="16"/>
    </row>
    <row r="5" spans="1:5" x14ac:dyDescent="0.35">
      <c r="A5" s="4" t="s">
        <v>124</v>
      </c>
      <c r="B5" s="5">
        <v>55463</v>
      </c>
      <c r="C5" s="5">
        <v>27706</v>
      </c>
      <c r="D5" s="16">
        <f t="shared" ref="D5:D7" si="0">C5/B5</f>
        <v>0.49954023402989378</v>
      </c>
    </row>
    <row r="6" spans="1:5" x14ac:dyDescent="0.35">
      <c r="A6" s="4" t="s">
        <v>122</v>
      </c>
      <c r="B6" s="5">
        <v>78735</v>
      </c>
      <c r="C6" s="5">
        <v>43952</v>
      </c>
      <c r="D6" s="16">
        <f t="shared" si="0"/>
        <v>0.55822696386613324</v>
      </c>
    </row>
    <row r="7" spans="1:5" x14ac:dyDescent="0.35">
      <c r="A7" s="4" t="s">
        <v>119</v>
      </c>
      <c r="B7" s="5">
        <v>116254</v>
      </c>
      <c r="C7" s="5">
        <v>57874</v>
      </c>
      <c r="D7" s="16">
        <f t="shared" si="0"/>
        <v>0.49782373079635972</v>
      </c>
    </row>
    <row r="8" spans="1:5" x14ac:dyDescent="0.35">
      <c r="A8" s="4" t="s">
        <v>175</v>
      </c>
      <c r="B8" s="5">
        <v>291137</v>
      </c>
      <c r="C8" s="5">
        <v>154861</v>
      </c>
      <c r="D8" s="17">
        <f>SUM(D4:D7)</f>
        <v>2.1781545270701672</v>
      </c>
    </row>
  </sheetData>
  <conditionalFormatting sqref="D4:D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FC84-87AB-4BE5-BCE4-24B31E12EE11}">
  <dimension ref="A3:B8"/>
  <sheetViews>
    <sheetView workbookViewId="0">
      <selection activeCell="A3" sqref="A3"/>
    </sheetView>
  </sheetViews>
  <sheetFormatPr defaultRowHeight="14.5" x14ac:dyDescent="0.35"/>
  <cols>
    <col min="1" max="1" width="12.36328125" bestFit="1" customWidth="1"/>
    <col min="2" max="2" width="21.54296875" bestFit="1" customWidth="1"/>
  </cols>
  <sheetData>
    <row r="3" spans="1:2" x14ac:dyDescent="0.35">
      <c r="A3" s="3" t="s">
        <v>174</v>
      </c>
      <c r="B3" t="s">
        <v>236</v>
      </c>
    </row>
    <row r="4" spans="1:2" x14ac:dyDescent="0.35">
      <c r="A4" s="4" t="s">
        <v>116</v>
      </c>
      <c r="B4" s="5">
        <v>25329</v>
      </c>
    </row>
    <row r="5" spans="1:2" x14ac:dyDescent="0.35">
      <c r="A5" s="4" t="s">
        <v>124</v>
      </c>
      <c r="B5" s="5">
        <v>27706</v>
      </c>
    </row>
    <row r="6" spans="1:2" x14ac:dyDescent="0.35">
      <c r="A6" s="4" t="s">
        <v>122</v>
      </c>
      <c r="B6" s="5">
        <v>43952</v>
      </c>
    </row>
    <row r="7" spans="1:2" x14ac:dyDescent="0.35">
      <c r="A7" s="4" t="s">
        <v>119</v>
      </c>
      <c r="B7" s="5">
        <v>57874</v>
      </c>
    </row>
    <row r="8" spans="1:2" x14ac:dyDescent="0.35">
      <c r="A8" s="4" t="s">
        <v>175</v>
      </c>
      <c r="B8" s="5">
        <v>154861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EEFB-FA2B-46CD-8263-977D4E32D528}">
  <dimension ref="E2:F4"/>
  <sheetViews>
    <sheetView showGridLines="0" tabSelected="1" workbookViewId="0">
      <selection activeCell="I8" sqref="I8"/>
    </sheetView>
  </sheetViews>
  <sheetFormatPr defaultRowHeight="14.5" x14ac:dyDescent="0.35"/>
  <cols>
    <col min="6" max="6" width="13.7265625" customWidth="1"/>
  </cols>
  <sheetData>
    <row r="2" spans="5:6" ht="29" x14ac:dyDescent="0.35">
      <c r="E2" s="10"/>
      <c r="F2" s="11" t="s">
        <v>200</v>
      </c>
    </row>
    <row r="3" spans="5:6" x14ac:dyDescent="0.35">
      <c r="E3" s="10"/>
      <c r="F3" s="10"/>
    </row>
    <row r="4" spans="5:6" x14ac:dyDescent="0.35">
      <c r="E4" s="10"/>
      <c r="F4" s="10"/>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E02C-0C65-476F-BF43-ACD35492BAC6}">
  <dimension ref="A3:D10"/>
  <sheetViews>
    <sheetView workbookViewId="0">
      <selection activeCell="A3" sqref="A3"/>
    </sheetView>
  </sheetViews>
  <sheetFormatPr defaultRowHeight="14.5" x14ac:dyDescent="0.35"/>
  <cols>
    <col min="1" max="1" width="15.81640625" bestFit="1" customWidth="1"/>
    <col min="2" max="2" width="15.26953125" bestFit="1" customWidth="1"/>
    <col min="3" max="3" width="7.81640625" bestFit="1" customWidth="1"/>
    <col min="4" max="4" width="10.7265625" bestFit="1" customWidth="1"/>
  </cols>
  <sheetData>
    <row r="3" spans="1:4" x14ac:dyDescent="0.35">
      <c r="A3" s="3" t="s">
        <v>239</v>
      </c>
      <c r="B3" s="3" t="s">
        <v>178</v>
      </c>
    </row>
    <row r="4" spans="1:4" x14ac:dyDescent="0.35">
      <c r="A4" s="3" t="s">
        <v>174</v>
      </c>
      <c r="B4" t="s">
        <v>145</v>
      </c>
      <c r="C4" t="s">
        <v>136</v>
      </c>
      <c r="D4" t="s">
        <v>175</v>
      </c>
    </row>
    <row r="5" spans="1:4" x14ac:dyDescent="0.35">
      <c r="A5" s="4" t="s">
        <v>134</v>
      </c>
      <c r="B5" s="5"/>
      <c r="C5" s="5">
        <v>5</v>
      </c>
      <c r="D5" s="5">
        <v>5</v>
      </c>
    </row>
    <row r="6" spans="1:4" x14ac:dyDescent="0.35">
      <c r="A6" s="4" t="s">
        <v>158</v>
      </c>
      <c r="B6" s="5">
        <v>3</v>
      </c>
      <c r="C6" s="5">
        <v>2</v>
      </c>
      <c r="D6" s="5">
        <v>5</v>
      </c>
    </row>
    <row r="7" spans="1:4" x14ac:dyDescent="0.35">
      <c r="A7" s="4" t="s">
        <v>142</v>
      </c>
      <c r="B7" s="5">
        <v>6</v>
      </c>
      <c r="C7" s="5">
        <v>3</v>
      </c>
      <c r="D7" s="5">
        <v>9</v>
      </c>
    </row>
    <row r="8" spans="1:4" x14ac:dyDescent="0.35">
      <c r="A8" s="4" t="s">
        <v>147</v>
      </c>
      <c r="B8" s="5">
        <v>1</v>
      </c>
      <c r="C8" s="5">
        <v>3</v>
      </c>
      <c r="D8" s="5">
        <v>4</v>
      </c>
    </row>
    <row r="9" spans="1:4" x14ac:dyDescent="0.35">
      <c r="A9" s="4" t="s">
        <v>140</v>
      </c>
      <c r="B9" s="5">
        <v>3</v>
      </c>
      <c r="C9" s="5">
        <v>4</v>
      </c>
      <c r="D9" s="5">
        <v>7</v>
      </c>
    </row>
    <row r="10" spans="1:4" x14ac:dyDescent="0.35">
      <c r="A10" s="4" t="s">
        <v>175</v>
      </c>
      <c r="B10" s="5">
        <v>13</v>
      </c>
      <c r="C10" s="5">
        <v>17</v>
      </c>
      <c r="D10" s="5">
        <v>30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4C87-4B08-40A2-8BD1-EC8998883BD1}">
  <dimension ref="A3:B8"/>
  <sheetViews>
    <sheetView workbookViewId="0">
      <selection activeCell="C10" sqref="C10"/>
    </sheetView>
  </sheetViews>
  <sheetFormatPr defaultRowHeight="14.5" x14ac:dyDescent="0.35"/>
  <cols>
    <col min="1" max="1" width="12.36328125" bestFit="1" customWidth="1"/>
    <col min="2" max="2" width="31" bestFit="1" customWidth="1"/>
  </cols>
  <sheetData>
    <row r="3" spans="1:2" x14ac:dyDescent="0.35">
      <c r="A3" s="3" t="s">
        <v>174</v>
      </c>
      <c r="B3" t="s">
        <v>241</v>
      </c>
    </row>
    <row r="4" spans="1:2" x14ac:dyDescent="0.35">
      <c r="A4" s="4" t="s">
        <v>138</v>
      </c>
      <c r="B4" s="9">
        <v>5.3</v>
      </c>
    </row>
    <row r="5" spans="1:2" x14ac:dyDescent="0.35">
      <c r="A5" s="4" t="s">
        <v>148</v>
      </c>
      <c r="B5" s="9">
        <v>5.4285714285714288</v>
      </c>
    </row>
    <row r="6" spans="1:2" x14ac:dyDescent="0.35">
      <c r="A6" s="4" t="s">
        <v>143</v>
      </c>
      <c r="B6" s="9">
        <v>5.25</v>
      </c>
    </row>
    <row r="7" spans="1:2" x14ac:dyDescent="0.35">
      <c r="A7" s="4" t="s">
        <v>135</v>
      </c>
      <c r="B7" s="9">
        <v>7.1111111111111107</v>
      </c>
    </row>
    <row r="8" spans="1:2" x14ac:dyDescent="0.35">
      <c r="A8" s="4" t="s">
        <v>175</v>
      </c>
      <c r="B8" s="9">
        <v>5.8666666666666663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24D2-E4E3-4485-8C10-F89D70B8F8A9}">
  <dimension ref="A3:C14"/>
  <sheetViews>
    <sheetView workbookViewId="0">
      <selection activeCell="F9" sqref="F9"/>
    </sheetView>
  </sheetViews>
  <sheetFormatPr defaultRowHeight="14.5" x14ac:dyDescent="0.35"/>
  <cols>
    <col min="1" max="1" width="12.36328125" bestFit="1" customWidth="1"/>
    <col min="2" max="2" width="15.81640625" bestFit="1" customWidth="1"/>
    <col min="3" max="3" width="17.36328125" bestFit="1" customWidth="1"/>
    <col min="4" max="30" width="15.26953125" bestFit="1" customWidth="1"/>
    <col min="31" max="31" width="10.7265625" bestFit="1" customWidth="1"/>
  </cols>
  <sheetData>
    <row r="3" spans="1:3" x14ac:dyDescent="0.35">
      <c r="A3" s="3" t="s">
        <v>174</v>
      </c>
      <c r="B3" t="s">
        <v>239</v>
      </c>
      <c r="C3" t="s">
        <v>242</v>
      </c>
    </row>
    <row r="4" spans="1:3" x14ac:dyDescent="0.35">
      <c r="A4" s="4" t="s">
        <v>180</v>
      </c>
      <c r="B4" s="5">
        <v>3</v>
      </c>
      <c r="C4" s="5">
        <v>91056</v>
      </c>
    </row>
    <row r="5" spans="1:3" x14ac:dyDescent="0.35">
      <c r="A5" s="4" t="s">
        <v>181</v>
      </c>
      <c r="B5" s="5">
        <v>1</v>
      </c>
      <c r="C5" s="5">
        <v>14341</v>
      </c>
    </row>
    <row r="6" spans="1:3" x14ac:dyDescent="0.35">
      <c r="A6" s="4" t="s">
        <v>182</v>
      </c>
      <c r="B6" s="5">
        <v>1</v>
      </c>
      <c r="C6" s="5">
        <v>43861</v>
      </c>
    </row>
    <row r="7" spans="1:3" x14ac:dyDescent="0.35">
      <c r="A7" s="4" t="s">
        <v>183</v>
      </c>
      <c r="B7" s="5">
        <v>5</v>
      </c>
      <c r="C7" s="5">
        <v>115886</v>
      </c>
    </row>
    <row r="8" spans="1:3" x14ac:dyDescent="0.35">
      <c r="A8" s="4" t="s">
        <v>184</v>
      </c>
      <c r="B8" s="5">
        <v>2</v>
      </c>
      <c r="C8" s="5">
        <v>45803</v>
      </c>
    </row>
    <row r="9" spans="1:3" x14ac:dyDescent="0.35">
      <c r="A9" s="4" t="s">
        <v>185</v>
      </c>
      <c r="B9" s="5">
        <v>4</v>
      </c>
      <c r="C9" s="5">
        <v>140518</v>
      </c>
    </row>
    <row r="10" spans="1:3" x14ac:dyDescent="0.35">
      <c r="A10" s="4" t="s">
        <v>186</v>
      </c>
      <c r="B10" s="5">
        <v>2</v>
      </c>
      <c r="C10" s="5">
        <v>15431</v>
      </c>
    </row>
    <row r="11" spans="1:3" x14ac:dyDescent="0.35">
      <c r="A11" s="4" t="s">
        <v>187</v>
      </c>
      <c r="B11" s="5">
        <v>3</v>
      </c>
      <c r="C11" s="5">
        <v>87783</v>
      </c>
    </row>
    <row r="12" spans="1:3" x14ac:dyDescent="0.35">
      <c r="A12" s="4" t="s">
        <v>188</v>
      </c>
      <c r="B12" s="5">
        <v>5</v>
      </c>
      <c r="C12" s="5">
        <v>150393</v>
      </c>
    </row>
    <row r="13" spans="1:3" x14ac:dyDescent="0.35">
      <c r="A13" s="4" t="s">
        <v>189</v>
      </c>
      <c r="B13" s="5">
        <v>4</v>
      </c>
      <c r="C13" s="5">
        <v>80469</v>
      </c>
    </row>
    <row r="14" spans="1:3" x14ac:dyDescent="0.35">
      <c r="A14" s="4" t="s">
        <v>175</v>
      </c>
      <c r="B14" s="5">
        <v>30</v>
      </c>
      <c r="C14" s="5">
        <v>785541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492BC-0FCD-47CB-AED4-9D13CD75730B}">
  <dimension ref="A1:B8"/>
  <sheetViews>
    <sheetView workbookViewId="0">
      <selection activeCell="A3" sqref="A3"/>
    </sheetView>
  </sheetViews>
  <sheetFormatPr defaultRowHeight="14.5" x14ac:dyDescent="0.35"/>
  <cols>
    <col min="1" max="1" width="13.1796875" bestFit="1" customWidth="1"/>
    <col min="2" max="2" width="15.81640625" bestFit="1" customWidth="1"/>
  </cols>
  <sheetData>
    <row r="1" spans="1:2" x14ac:dyDescent="0.35">
      <c r="A1" s="3" t="s">
        <v>131</v>
      </c>
      <c r="B1" t="s" vm="3">
        <v>145</v>
      </c>
    </row>
    <row r="3" spans="1:2" x14ac:dyDescent="0.35">
      <c r="A3" s="3" t="s">
        <v>174</v>
      </c>
      <c r="B3" t="s">
        <v>239</v>
      </c>
    </row>
    <row r="4" spans="1:2" x14ac:dyDescent="0.35">
      <c r="A4" s="4" t="s">
        <v>158</v>
      </c>
      <c r="B4" s="5">
        <v>3</v>
      </c>
    </row>
    <row r="5" spans="1:2" x14ac:dyDescent="0.35">
      <c r="A5" s="4" t="s">
        <v>142</v>
      </c>
      <c r="B5" s="5">
        <v>6</v>
      </c>
    </row>
    <row r="6" spans="1:2" x14ac:dyDescent="0.35">
      <c r="A6" s="4" t="s">
        <v>147</v>
      </c>
      <c r="B6" s="5">
        <v>1</v>
      </c>
    </row>
    <row r="7" spans="1:2" x14ac:dyDescent="0.35">
      <c r="A7" s="4" t="s">
        <v>140</v>
      </c>
      <c r="B7" s="5">
        <v>3</v>
      </c>
    </row>
    <row r="8" spans="1:2" x14ac:dyDescent="0.35">
      <c r="A8" s="4" t="s">
        <v>175</v>
      </c>
      <c r="B8" s="5">
        <v>13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B709-5D87-4DA3-B2EF-7DBD0A40246B}">
  <dimension ref="A3:C14"/>
  <sheetViews>
    <sheetView showGridLines="0" workbookViewId="0">
      <selection activeCell="C18" sqref="C18"/>
    </sheetView>
  </sheetViews>
  <sheetFormatPr defaultRowHeight="14.5" x14ac:dyDescent="0.35"/>
  <cols>
    <col min="1" max="1" width="12.36328125" bestFit="1" customWidth="1"/>
    <col min="2" max="2" width="15.81640625" bestFit="1" customWidth="1"/>
    <col min="3" max="3" width="17.36328125" bestFit="1" customWidth="1"/>
  </cols>
  <sheetData>
    <row r="3" spans="1:3" x14ac:dyDescent="0.35">
      <c r="A3" s="3" t="s">
        <v>174</v>
      </c>
      <c r="B3" t="s">
        <v>239</v>
      </c>
      <c r="C3" t="s">
        <v>242</v>
      </c>
    </row>
    <row r="4" spans="1:3" x14ac:dyDescent="0.35">
      <c r="A4" s="4" t="s">
        <v>180</v>
      </c>
      <c r="B4" s="5">
        <v>3</v>
      </c>
      <c r="C4" s="5">
        <v>91056</v>
      </c>
    </row>
    <row r="5" spans="1:3" x14ac:dyDescent="0.35">
      <c r="A5" s="4" t="s">
        <v>181</v>
      </c>
      <c r="B5" s="5">
        <v>1</v>
      </c>
      <c r="C5" s="5">
        <v>14341</v>
      </c>
    </row>
    <row r="6" spans="1:3" x14ac:dyDescent="0.35">
      <c r="A6" s="4" t="s">
        <v>182</v>
      </c>
      <c r="B6" s="5">
        <v>1</v>
      </c>
      <c r="C6" s="5">
        <v>43861</v>
      </c>
    </row>
    <row r="7" spans="1:3" x14ac:dyDescent="0.35">
      <c r="A7" s="4" t="s">
        <v>183</v>
      </c>
      <c r="B7" s="5">
        <v>5</v>
      </c>
      <c r="C7" s="5">
        <v>115886</v>
      </c>
    </row>
    <row r="8" spans="1:3" x14ac:dyDescent="0.35">
      <c r="A8" s="4" t="s">
        <v>184</v>
      </c>
      <c r="B8" s="5">
        <v>2</v>
      </c>
      <c r="C8" s="5">
        <v>45803</v>
      </c>
    </row>
    <row r="9" spans="1:3" x14ac:dyDescent="0.35">
      <c r="A9" s="4" t="s">
        <v>185</v>
      </c>
      <c r="B9" s="5">
        <v>4</v>
      </c>
      <c r="C9" s="5">
        <v>140518</v>
      </c>
    </row>
    <row r="10" spans="1:3" x14ac:dyDescent="0.35">
      <c r="A10" s="4" t="s">
        <v>186</v>
      </c>
      <c r="B10" s="5">
        <v>2</v>
      </c>
      <c r="C10" s="5">
        <v>15431</v>
      </c>
    </row>
    <row r="11" spans="1:3" x14ac:dyDescent="0.35">
      <c r="A11" s="4" t="s">
        <v>187</v>
      </c>
      <c r="B11" s="5">
        <v>3</v>
      </c>
      <c r="C11" s="5">
        <v>87783</v>
      </c>
    </row>
    <row r="12" spans="1:3" x14ac:dyDescent="0.35">
      <c r="A12" s="4" t="s">
        <v>188</v>
      </c>
      <c r="B12" s="5">
        <v>5</v>
      </c>
      <c r="C12" s="5">
        <v>150393</v>
      </c>
    </row>
    <row r="13" spans="1:3" x14ac:dyDescent="0.35">
      <c r="A13" s="4" t="s">
        <v>189</v>
      </c>
      <c r="B13" s="5">
        <v>4</v>
      </c>
      <c r="C13" s="5">
        <v>80469</v>
      </c>
    </row>
    <row r="14" spans="1:3" x14ac:dyDescent="0.35">
      <c r="A14" s="4" t="s">
        <v>175</v>
      </c>
      <c r="B14" s="5">
        <v>30</v>
      </c>
      <c r="C14" s="5">
        <v>785541</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10E02-E5CE-4E5B-9F9D-2DD9B09F4E3C}">
  <dimension ref="A1:B8"/>
  <sheetViews>
    <sheetView showGridLines="0" workbookViewId="0">
      <selection activeCell="C13" sqref="C13"/>
    </sheetView>
  </sheetViews>
  <sheetFormatPr defaultRowHeight="14.5" x14ac:dyDescent="0.35"/>
  <cols>
    <col min="1" max="1" width="13.1796875" bestFit="1" customWidth="1"/>
    <col min="2" max="2" width="15.81640625" bestFit="1" customWidth="1"/>
  </cols>
  <sheetData>
    <row r="1" spans="1:2" x14ac:dyDescent="0.35">
      <c r="A1" t="s">
        <v>131</v>
      </c>
      <c r="B1" t="s" vm="3">
        <v>145</v>
      </c>
    </row>
    <row r="3" spans="1:2" x14ac:dyDescent="0.35">
      <c r="A3" t="s">
        <v>174</v>
      </c>
      <c r="B3" t="s">
        <v>239</v>
      </c>
    </row>
    <row r="4" spans="1:2" x14ac:dyDescent="0.35">
      <c r="A4" s="4" t="s">
        <v>158</v>
      </c>
      <c r="B4" s="5">
        <v>3</v>
      </c>
    </row>
    <row r="5" spans="1:2" x14ac:dyDescent="0.35">
      <c r="A5" s="4" t="s">
        <v>142</v>
      </c>
      <c r="B5" s="5">
        <v>6</v>
      </c>
    </row>
    <row r="6" spans="1:2" x14ac:dyDescent="0.35">
      <c r="A6" s="4" t="s">
        <v>147</v>
      </c>
      <c r="B6" s="5">
        <v>1</v>
      </c>
    </row>
    <row r="7" spans="1:2" x14ac:dyDescent="0.35">
      <c r="A7" s="4" t="s">
        <v>140</v>
      </c>
      <c r="B7" s="5">
        <v>3</v>
      </c>
    </row>
    <row r="8" spans="1:2" x14ac:dyDescent="0.35">
      <c r="A8" s="4" t="s">
        <v>175</v>
      </c>
      <c r="B8" s="5">
        <v>13</v>
      </c>
    </row>
  </sheetData>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1B20-2016-46F8-9990-9BDA39505090}">
  <dimension ref="A3:B8"/>
  <sheetViews>
    <sheetView workbookViewId="0">
      <selection activeCell="C4" sqref="C4"/>
    </sheetView>
  </sheetViews>
  <sheetFormatPr defaultRowHeight="14.5" x14ac:dyDescent="0.35"/>
  <cols>
    <col min="1" max="1" width="12.36328125" bestFit="1" customWidth="1"/>
    <col min="2" max="2" width="31" bestFit="1" customWidth="1"/>
  </cols>
  <sheetData>
    <row r="3" spans="1:2" x14ac:dyDescent="0.35">
      <c r="A3" s="3" t="s">
        <v>174</v>
      </c>
      <c r="B3" t="s">
        <v>241</v>
      </c>
    </row>
    <row r="4" spans="1:2" x14ac:dyDescent="0.35">
      <c r="A4" s="4" t="s">
        <v>138</v>
      </c>
      <c r="B4" s="9">
        <v>5.3</v>
      </c>
    </row>
    <row r="5" spans="1:2" x14ac:dyDescent="0.35">
      <c r="A5" s="4" t="s">
        <v>148</v>
      </c>
      <c r="B5" s="9">
        <v>5.4285714285714288</v>
      </c>
    </row>
    <row r="6" spans="1:2" x14ac:dyDescent="0.35">
      <c r="A6" s="4" t="s">
        <v>143</v>
      </c>
      <c r="B6" s="9">
        <v>5.25</v>
      </c>
    </row>
    <row r="7" spans="1:2" x14ac:dyDescent="0.35">
      <c r="A7" s="4" t="s">
        <v>135</v>
      </c>
      <c r="B7" s="9">
        <v>7.1111111111111107</v>
      </c>
    </row>
    <row r="8" spans="1:2" x14ac:dyDescent="0.35">
      <c r="A8" s="4" t="s">
        <v>175</v>
      </c>
      <c r="B8" s="9">
        <v>5.8666666666666663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6A6E-DE70-4AF2-8221-0E8C7B768607}">
  <dimension ref="A3:B9"/>
  <sheetViews>
    <sheetView showGridLines="0" workbookViewId="0">
      <selection activeCell="A17" sqref="A17"/>
    </sheetView>
  </sheetViews>
  <sheetFormatPr defaultRowHeight="14.5" x14ac:dyDescent="0.35"/>
  <cols>
    <col min="1" max="1" width="12.36328125" bestFit="1" customWidth="1"/>
    <col min="2" max="2" width="15.81640625" bestFit="1" customWidth="1"/>
  </cols>
  <sheetData>
    <row r="3" spans="1:2" x14ac:dyDescent="0.35">
      <c r="A3" s="3" t="s">
        <v>174</v>
      </c>
      <c r="B3" t="s">
        <v>239</v>
      </c>
    </row>
    <row r="4" spans="1:2" x14ac:dyDescent="0.35">
      <c r="A4" s="4" t="s">
        <v>134</v>
      </c>
      <c r="B4" s="5">
        <v>5</v>
      </c>
    </row>
    <row r="5" spans="1:2" x14ac:dyDescent="0.35">
      <c r="A5" s="4" t="s">
        <v>158</v>
      </c>
      <c r="B5" s="5">
        <v>5</v>
      </c>
    </row>
    <row r="6" spans="1:2" x14ac:dyDescent="0.35">
      <c r="A6" s="4" t="s">
        <v>142</v>
      </c>
      <c r="B6" s="5">
        <v>9</v>
      </c>
    </row>
    <row r="7" spans="1:2" x14ac:dyDescent="0.35">
      <c r="A7" s="4" t="s">
        <v>147</v>
      </c>
      <c r="B7" s="5">
        <v>4</v>
      </c>
    </row>
    <row r="8" spans="1:2" x14ac:dyDescent="0.35">
      <c r="A8" s="4" t="s">
        <v>140</v>
      </c>
      <c r="B8" s="5">
        <v>7</v>
      </c>
    </row>
    <row r="9" spans="1:2" x14ac:dyDescent="0.35">
      <c r="A9" s="4" t="s">
        <v>175</v>
      </c>
      <c r="B9"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CE899F-6858-4F5E-81FD-EFB694128C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Sales Analysis</vt:lpstr>
      <vt:lpstr>HR Attrition</vt:lpstr>
      <vt:lpstr>Inventory</vt:lpstr>
      <vt:lpstr>Expense Tracking</vt:lpstr>
      <vt:lpstr>Customer Orders</vt:lpstr>
      <vt:lpstr>Revenue by region</vt:lpstr>
      <vt:lpstr>Revenue&amp;Profit by salesperson</vt:lpstr>
      <vt:lpstr>Monthly sales trend</vt:lpstr>
      <vt:lpstr>Top 5 products by revenue</vt:lpstr>
      <vt:lpstr>Line chart</vt:lpstr>
      <vt:lpstr>Bar chart</vt:lpstr>
      <vt:lpstr>Top salesperson</vt:lpstr>
      <vt:lpstr>Slicer</vt:lpstr>
      <vt:lpstr>Active employee by dept</vt:lpstr>
      <vt:lpstr>Attrition count by dept&amp;gender</vt:lpstr>
      <vt:lpstr>Avg age &amp; salary by dept</vt:lpstr>
      <vt:lpstr>Year wise attrition</vt:lpstr>
      <vt:lpstr>Donut chart (Gender chart)</vt:lpstr>
      <vt:lpstr>Column chart-Attrition by dept</vt:lpstr>
      <vt:lpstr>KPI Cards</vt:lpstr>
      <vt:lpstr>Timeline filter</vt:lpstr>
      <vt:lpstr>Stock movement</vt:lpstr>
      <vt:lpstr>Closing stock by category</vt:lpstr>
      <vt:lpstr>Line chart weekly</vt:lpstr>
      <vt:lpstr>Slicer for Warehouse</vt:lpstr>
      <vt:lpstr>Highlight table for low stock</vt:lpstr>
      <vt:lpstr>Budget vs Expense by Department</vt:lpstr>
      <vt:lpstr>% Budget Used by Category</vt:lpstr>
      <vt:lpstr>Monthly Expense Trend</vt:lpstr>
      <vt:lpstr>Project-wise expense breakdown</vt:lpstr>
      <vt:lpstr>Bar chart  Actual vs Budget</vt:lpstr>
      <vt:lpstr>Heatmap for % Budget Utilizatio</vt:lpstr>
      <vt:lpstr>Timeline filter-Expense</vt:lpstr>
      <vt:lpstr>KPI Cards Budget,Expense,Overun</vt:lpstr>
      <vt:lpstr>Orders by Customer and Status</vt:lpstr>
      <vt:lpstr>Avg Delivery Duration by Produc</vt:lpstr>
      <vt:lpstr>Monthly Order Count and Value</vt:lpstr>
      <vt:lpstr>Delay Count by Customer</vt:lpstr>
      <vt:lpstr>Line chart-Month order &amp; revenu</vt:lpstr>
      <vt:lpstr>Bar chart-Orders by customer</vt:lpstr>
      <vt:lpstr> Avg Delivery Time by Product</vt:lpstr>
      <vt:lpstr>Slicer Delivery Status&amp;product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Radhika Jeswani</cp:lastModifiedBy>
  <dcterms:created xsi:type="dcterms:W3CDTF">2025-08-04T18:34:22Z</dcterms:created>
  <dcterms:modified xsi:type="dcterms:W3CDTF">2026-03-08T09:49:04Z</dcterms:modified>
</cp:coreProperties>
</file>