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ABC0009F-13A8-4C2F-A129-6BC0888D031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  <definedName name="_xlnm._FilterDatabase" localSheetId="1" hidden="1">'Exercise 2'!$A$15:$I$15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9" i="2"/>
  <c r="E10" i="2"/>
  <c r="E11" i="2"/>
  <c r="E9" i="2"/>
  <c r="D10" i="2"/>
  <c r="D11" i="2"/>
  <c r="D9" i="2"/>
  <c r="C10" i="2"/>
  <c r="C11" i="2"/>
  <c r="C9" i="2"/>
  <c r="B10" i="2"/>
  <c r="B11" i="2"/>
  <c r="B9" i="2"/>
  <c r="F3" i="2"/>
  <c r="F4" i="2"/>
  <c r="F5" i="2"/>
  <c r="F2" i="2"/>
  <c r="E3" i="2"/>
  <c r="E4" i="2"/>
  <c r="E5" i="2"/>
  <c r="E2" i="2"/>
  <c r="D3" i="2"/>
  <c r="D4" i="2"/>
  <c r="D5" i="2"/>
  <c r="D2" i="2"/>
  <c r="C3" i="2"/>
  <c r="C4" i="2"/>
  <c r="C5" i="2"/>
  <c r="C2" i="2"/>
  <c r="B3" i="2"/>
  <c r="B4" i="2"/>
  <c r="B5" i="2"/>
  <c r="B2" i="2"/>
  <c r="G52" i="1" a="1"/>
  <c r="G52" i="1" s="1"/>
  <c r="G49" i="1"/>
  <c r="G45" i="1"/>
  <c r="G48" i="1"/>
  <c r="G47" i="1"/>
  <c r="G44" i="1"/>
  <c r="G43" i="1"/>
  <c r="G42" i="1"/>
  <c r="G39" i="1"/>
  <c r="G38" i="1"/>
  <c r="G37" i="1"/>
  <c r="G36" i="1"/>
  <c r="G33" i="1"/>
  <c r="G32" i="1"/>
  <c r="G31" i="1"/>
  <c r="G30" i="1"/>
  <c r="G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<sst xmlns="http://schemas.openxmlformats.org/spreadsheetml/2006/main" count="824" uniqueCount="72">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</sst>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110" zoomScaleNormal="110" workbookViewId="0">
      <selection activeCell="D1" sqref="D1"/>
    </sheetView>
  </sheetViews>
  <sheetFormatPr defaultRowHeight="14.6" x14ac:dyDescent="0.4"/>
  <cols>
    <col min="2" max="2" width="13" customWidth="1"/>
    <col min="3" max="3" width="17.4609375" customWidth="1"/>
    <col min="4" max="4" width="15.53515625" bestFit="1" customWidth="1"/>
    <col min="5" max="5" width="10.53515625" bestFit="1" customWidth="1"/>
    <col min="7" max="7" width="13.3046875" customWidth="1"/>
    <col min="12" max="14" width="7.07421875" bestFit="1" customWidth="1"/>
    <col min="15" max="15" width="11.4609375" bestFit="1" customWidth="1"/>
  </cols>
  <sheetData>
    <row r="1" spans="1:7" ht="29.15" x14ac:dyDescent="0.4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7" x14ac:dyDescent="0.4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4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4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4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4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4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4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4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4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4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4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4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4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3" t="s">
        <v>42</v>
      </c>
      <c r="G14" s="2" t="s">
        <v>21</v>
      </c>
    </row>
    <row r="15" spans="1:7" x14ac:dyDescent="0.4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4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4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4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4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4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4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4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4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4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4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4">
      <c r="D27" s="2"/>
      <c r="E27" s="2"/>
      <c r="F27" s="2"/>
      <c r="G27" s="2" t="s">
        <v>39</v>
      </c>
    </row>
    <row r="28" spans="1:7" x14ac:dyDescent="0.4">
      <c r="D28" s="2"/>
      <c r="E28" s="2"/>
      <c r="F28" s="15"/>
      <c r="G28" s="2"/>
    </row>
    <row r="29" spans="1:7" x14ac:dyDescent="0.4">
      <c r="D29" s="2"/>
      <c r="E29" s="16" t="s">
        <v>31</v>
      </c>
      <c r="F29" s="2"/>
      <c r="G29" s="2">
        <f>COUNTIF(G1:G25,"Boston")</f>
        <v>4</v>
      </c>
    </row>
    <row r="30" spans="1:7" x14ac:dyDescent="0.4">
      <c r="D30" s="2"/>
      <c r="E30" s="16" t="s">
        <v>32</v>
      </c>
      <c r="F30" s="2"/>
      <c r="G30" s="2">
        <f>COUNTIF(D2:D25,"microwave")</f>
        <v>5</v>
      </c>
    </row>
    <row r="31" spans="1:7" x14ac:dyDescent="0.4">
      <c r="D31" s="2"/>
      <c r="E31" s="16" t="s">
        <v>33</v>
      </c>
      <c r="F31" s="2"/>
      <c r="G31" s="2">
        <f>COUNTIF(F2:F25,"truck 3")</f>
        <v>8</v>
      </c>
    </row>
    <row r="32" spans="1:7" x14ac:dyDescent="0.4">
      <c r="D32" s="2"/>
      <c r="E32" s="16" t="s">
        <v>34</v>
      </c>
      <c r="F32" s="2"/>
      <c r="G32" s="2">
        <f>COUNTIF(C2:C25,"peter white")</f>
        <v>6</v>
      </c>
    </row>
    <row r="33" spans="4:7" x14ac:dyDescent="0.4">
      <c r="D33" s="2"/>
      <c r="E33" s="16" t="s">
        <v>26</v>
      </c>
      <c r="F33" s="2"/>
      <c r="G33" s="2">
        <f>COUNTIF(E2:E25,"&lt;20")</f>
        <v>9</v>
      </c>
    </row>
    <row r="34" spans="4:7" x14ac:dyDescent="0.4">
      <c r="D34" s="2"/>
      <c r="E34" s="2"/>
      <c r="F34" s="2"/>
      <c r="G34" s="2"/>
    </row>
    <row r="35" spans="4:7" x14ac:dyDescent="0.4">
      <c r="D35" s="2"/>
      <c r="E35" s="2"/>
      <c r="F35" s="15"/>
      <c r="G35" s="2"/>
    </row>
    <row r="36" spans="4:7" x14ac:dyDescent="0.4">
      <c r="D36" s="2"/>
      <c r="E36" s="16" t="s">
        <v>23</v>
      </c>
      <c r="F36" s="2"/>
      <c r="G36" s="2">
        <f>SUMIF(D2:D25,"refrigerator",E2:E25)</f>
        <v>105</v>
      </c>
    </row>
    <row r="37" spans="4:7" x14ac:dyDescent="0.4">
      <c r="D37" s="2"/>
      <c r="E37" s="16" t="s">
        <v>24</v>
      </c>
      <c r="F37" s="2"/>
      <c r="G37" s="2">
        <f>SUMIF(D2:D25,"washing machine",E2:E25)</f>
        <v>164</v>
      </c>
    </row>
    <row r="38" spans="4:7" x14ac:dyDescent="0.4">
      <c r="D38" s="2"/>
      <c r="E38" s="16" t="s">
        <v>30</v>
      </c>
      <c r="F38" s="2"/>
      <c r="G38" s="2">
        <f>SUMIF(F2:F25,"truck 4",E2:E25)</f>
        <v>156</v>
      </c>
    </row>
    <row r="39" spans="4:7" x14ac:dyDescent="0.4">
      <c r="D39" s="2"/>
      <c r="E39" s="16" t="s">
        <v>41</v>
      </c>
      <c r="F39" s="2"/>
      <c r="G39" s="2">
        <f>SUMIF(F2:F25,"truck*",E2:E25)</f>
        <v>511</v>
      </c>
    </row>
    <row r="40" spans="4:7" x14ac:dyDescent="0.4">
      <c r="D40" s="2"/>
      <c r="E40" s="2"/>
      <c r="F40" s="2"/>
      <c r="G40" s="2"/>
    </row>
    <row r="41" spans="4:7" x14ac:dyDescent="0.4">
      <c r="D41" s="2"/>
      <c r="E41" s="16"/>
      <c r="F41" s="15"/>
      <c r="G41" s="2"/>
    </row>
    <row r="42" spans="4:7" x14ac:dyDescent="0.4">
      <c r="D42" s="2"/>
      <c r="E42" s="16" t="s">
        <v>35</v>
      </c>
      <c r="F42" s="2"/>
      <c r="G42" s="2">
        <f>COUNTIFS(D2:D25,"microwave",G2:G25,"Boston")</f>
        <v>2</v>
      </c>
    </row>
    <row r="43" spans="4:7" x14ac:dyDescent="0.4">
      <c r="D43" s="2"/>
      <c r="E43" s="16" t="s">
        <v>36</v>
      </c>
      <c r="F43" s="2"/>
      <c r="G43" s="2">
        <f>COUNTIFS(C2:$C$25,"Peter White",$F$2:$F$25,"Truck 1")</f>
        <v>2</v>
      </c>
    </row>
    <row r="44" spans="4:7" x14ac:dyDescent="0.4">
      <c r="D44" s="2"/>
      <c r="E44" s="16" t="s">
        <v>37</v>
      </c>
      <c r="F44" s="2"/>
      <c r="G44" s="2">
        <f>COUNTIFS(G2:G25,"Boston", B2:B25, "&gt;02-03-2013")</f>
        <v>0</v>
      </c>
    </row>
    <row r="45" spans="4:7" x14ac:dyDescent="0.4">
      <c r="D45" s="2"/>
      <c r="E45" s="16" t="s">
        <v>38</v>
      </c>
      <c r="F45" s="2"/>
      <c r="G45" s="2">
        <f>COUNTIFS(B2:B25,"&gt;=02-03-2013,B2:B25,"&lt;=2-6-"2013")</f>
        <v>0</v>
      </c>
    </row>
    <row r="46" spans="4:7" x14ac:dyDescent="0.4">
      <c r="D46" s="1"/>
      <c r="E46" s="1"/>
      <c r="F46" s="15"/>
      <c r="G46" s="2"/>
    </row>
    <row r="47" spans="4:7" x14ac:dyDescent="0.4">
      <c r="D47" s="2"/>
      <c r="E47" s="16" t="s">
        <v>27</v>
      </c>
      <c r="F47" s="2"/>
      <c r="G47" s="2">
        <f>SUMIFS(E2:E25,D2:D25,"microwave",G2:G25,"NY")</f>
        <v>25</v>
      </c>
    </row>
    <row r="48" spans="4:7" x14ac:dyDescent="0.4">
      <c r="D48" s="2"/>
      <c r="E48" s="16" t="s">
        <v>29</v>
      </c>
      <c r="F48" s="2"/>
      <c r="G48" s="2">
        <f>SUMIFS(E2:E25,G2:G25,"Pittsburgh",F2:F25,"Truck 1")</f>
        <v>75</v>
      </c>
    </row>
    <row r="49" spans="4:7" x14ac:dyDescent="0.4">
      <c r="D49" s="2"/>
      <c r="E49" s="16" t="s">
        <v>40</v>
      </c>
      <c r="F49" s="2"/>
      <c r="G49" s="2">
        <f>SUMIFS(E2:E25,B2:B25,"&gt;=02-03-2013",B2:B25,"&lt;=02-06-2013")</f>
        <v>0</v>
      </c>
    </row>
    <row r="50" spans="4:7" x14ac:dyDescent="0.4">
      <c r="D50" s="2"/>
      <c r="E50" s="2"/>
      <c r="F50" s="2"/>
      <c r="G50" s="2"/>
    </row>
    <row r="51" spans="4:7" x14ac:dyDescent="0.4">
      <c r="D51" s="2"/>
      <c r="E51" s="2"/>
      <c r="F51" s="2"/>
      <c r="G51" s="2"/>
    </row>
    <row r="52" spans="4:7" x14ac:dyDescent="0.4">
      <c r="D52" s="2"/>
      <c r="E52" s="16" t="s">
        <v>28</v>
      </c>
      <c r="F52" s="2"/>
      <c r="G52" s="2" cm="1">
        <f t="array" ref="G52">SUM(SUMIF(G2:G25,{"NY","Baltimore","Philadelphia"},E2:E25))</f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1"/>
  <sheetViews>
    <sheetView zoomScale="105" workbookViewId="0">
      <selection activeCell="F9" sqref="F9"/>
    </sheetView>
  </sheetViews>
  <sheetFormatPr defaultRowHeight="14.6" x14ac:dyDescent="0.4"/>
  <cols>
    <col min="1" max="1" width="21.4609375" customWidth="1"/>
    <col min="2" max="2" width="21.84375" customWidth="1"/>
    <col min="3" max="3" width="12" bestFit="1" customWidth="1"/>
    <col min="4" max="4" width="13.53515625" customWidth="1"/>
    <col min="5" max="5" width="14" customWidth="1"/>
    <col min="6" max="6" width="26" customWidth="1"/>
    <col min="7" max="7" width="17.84375" customWidth="1"/>
  </cols>
  <sheetData>
    <row r="1" spans="1:9" ht="44.25" customHeight="1" x14ac:dyDescent="0.4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4">
      <c r="A2" s="2" t="s">
        <v>46</v>
      </c>
      <c r="B2" s="2">
        <f>COUNTIF(B16:B241,A2)</f>
        <v>71</v>
      </c>
      <c r="C2" s="2">
        <f>SUMIF(B16:B241,A2,E16:E241)</f>
        <v>717</v>
      </c>
      <c r="D2" s="2">
        <f>COUNTIFS(B16:B241,A2,D16:D241,"cash")</f>
        <v>42</v>
      </c>
      <c r="E2" s="2">
        <f>COUNTIFS(B16:B241,A2,D16:D241,"credit card")</f>
        <v>29</v>
      </c>
      <c r="F2" s="2">
        <f>SUMIFS($E$16:$E$241,$B$16:$B$241,A2,$D$16:$D$241,"cash")</f>
        <v>414</v>
      </c>
    </row>
    <row r="3" spans="1:9" x14ac:dyDescent="0.4">
      <c r="A3" s="6" t="s">
        <v>44</v>
      </c>
      <c r="B3" s="2">
        <f t="shared" ref="B3:B5" si="0">COUNTIF(B17:B242,A3)</f>
        <v>46</v>
      </c>
      <c r="C3" s="2">
        <f t="shared" ref="C3:C5" si="1">SUMIF(B17:B242,A3,E17:E242)</f>
        <v>1934</v>
      </c>
      <c r="D3" s="2">
        <f t="shared" ref="D3:D5" si="2">COUNTIFS(B17:B242,A3,D17:D242,"cash")</f>
        <v>31</v>
      </c>
      <c r="E3" s="2">
        <f t="shared" ref="E3:E5" si="3">COUNTIFS(B17:B242,A3,D17:D242,"credit card")</f>
        <v>15</v>
      </c>
      <c r="F3" s="2">
        <f t="shared" ref="F3:F5" si="4">SUMIFS($E$16:$E$241,$B$16:$B$241,A3,$D$16:$D$241,"cash")</f>
        <v>1350</v>
      </c>
    </row>
    <row r="4" spans="1:9" x14ac:dyDescent="0.4">
      <c r="A4" s="7" t="s">
        <v>45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9" x14ac:dyDescent="0.4">
      <c r="A5" s="2" t="s">
        <v>49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9" x14ac:dyDescent="0.4">
      <c r="I6" s="14"/>
    </row>
    <row r="8" spans="1:9" ht="48.75" customHeight="1" x14ac:dyDescent="0.4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4">
      <c r="A9" s="6" t="s">
        <v>50</v>
      </c>
      <c r="B9" s="2">
        <f>COUNTIF(C16:C241,A9)</f>
        <v>25</v>
      </c>
      <c r="C9" s="2">
        <f>SUMIF(C16:C241,A9,E16:E241)</f>
        <v>688</v>
      </c>
      <c r="D9" s="2">
        <f>COUNTIFS(C16:C241,A9,B16:B241,"Shaving")</f>
        <v>7</v>
      </c>
      <c r="E9" s="2">
        <f>COUNTIFS(C16:C241,A9,B16:B241,"Kids")</f>
        <v>1</v>
      </c>
      <c r="F9" s="2">
        <f>SUMIFS($E$16:$E$241,$C$16:$C$241,A9,$B$16:$B$241,"Shaving",$A$16:$A$241,"&gt;=10-05-2013",$A$16:$A$241,"&lt;=20-05-2013")</f>
        <v>31</v>
      </c>
    </row>
    <row r="10" spans="1:9" x14ac:dyDescent="0.4">
      <c r="A10" s="6" t="s">
        <v>51</v>
      </c>
      <c r="B10" s="2">
        <f t="shared" ref="B10:B11" si="5">COUNTIF(C17:C242,A10)</f>
        <v>31</v>
      </c>
      <c r="C10" s="2">
        <f t="shared" ref="C10:C11" si="6">SUMIF(C17:C242,A10,E17:E242)</f>
        <v>965</v>
      </c>
      <c r="D10" s="2">
        <f t="shared" ref="D10:D11" si="7">COUNTIFS(C17:C242,A10,B17:B242,"Shaving")</f>
        <v>8</v>
      </c>
      <c r="E10" s="2">
        <f t="shared" ref="E10:E11" si="8">COUNTIFS(C17:C242,A10,B17:B242,"Kids")</f>
        <v>1</v>
      </c>
      <c r="F10" s="2">
        <f t="shared" ref="F10:F11" si="9">SUMIFS($E$16:$E$241,$C$16:$C$241,A10,$B$16:$B$241,"Shaving",$A$16:$A$241,"&gt;=10-05-2013",$A$16:$A$241,"&lt;=20-05-2013")</f>
        <v>24</v>
      </c>
    </row>
    <row r="11" spans="1:9" x14ac:dyDescent="0.4">
      <c r="A11" s="6" t="s">
        <v>53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38</v>
      </c>
    </row>
    <row r="12" spans="1:9" x14ac:dyDescent="0.4">
      <c r="B12" s="13"/>
    </row>
    <row r="13" spans="1:9" x14ac:dyDescent="0.4">
      <c r="B13" s="13"/>
    </row>
    <row r="14" spans="1:9" x14ac:dyDescent="0.4">
      <c r="A14" s="17" t="s">
        <v>62</v>
      </c>
      <c r="B14" s="17"/>
      <c r="C14" s="17"/>
      <c r="D14" s="17"/>
      <c r="E14" s="17"/>
    </row>
    <row r="15" spans="1:9" x14ac:dyDescent="0.4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x14ac:dyDescent="0.4">
      <c r="A16" s="5">
        <v>41395</v>
      </c>
      <c r="B16" s="2" t="s">
        <v>46</v>
      </c>
      <c r="C16" s="6" t="s">
        <v>50</v>
      </c>
      <c r="D16" s="6" t="s">
        <v>60</v>
      </c>
      <c r="E16" s="10">
        <v>7</v>
      </c>
    </row>
    <row r="17" spans="1:5" x14ac:dyDescent="0.4">
      <c r="A17" s="5">
        <v>41395</v>
      </c>
      <c r="B17" s="2" t="s">
        <v>46</v>
      </c>
      <c r="C17" s="6" t="s">
        <v>51</v>
      </c>
      <c r="D17" s="6" t="s">
        <v>61</v>
      </c>
      <c r="E17" s="10">
        <v>7</v>
      </c>
    </row>
    <row r="18" spans="1:5" x14ac:dyDescent="0.4">
      <c r="A18" s="5">
        <v>41395</v>
      </c>
      <c r="B18" s="2" t="s">
        <v>46</v>
      </c>
      <c r="C18" s="6" t="s">
        <v>52</v>
      </c>
      <c r="D18" s="6" t="s">
        <v>60</v>
      </c>
      <c r="E18" s="10">
        <v>7</v>
      </c>
    </row>
    <row r="19" spans="1:5" x14ac:dyDescent="0.4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x14ac:dyDescent="0.4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x14ac:dyDescent="0.4">
      <c r="A21" s="5">
        <v>41395</v>
      </c>
      <c r="B21" s="2" t="s">
        <v>48</v>
      </c>
      <c r="C21" s="6" t="s">
        <v>54</v>
      </c>
      <c r="D21" s="6" t="s">
        <v>60</v>
      </c>
      <c r="E21" s="10">
        <v>67</v>
      </c>
    </row>
    <row r="22" spans="1:5" x14ac:dyDescent="0.4">
      <c r="A22" s="5">
        <v>41395</v>
      </c>
      <c r="B22" s="2" t="s">
        <v>49</v>
      </c>
      <c r="C22" s="6" t="s">
        <v>52</v>
      </c>
      <c r="D22" s="6" t="s">
        <v>60</v>
      </c>
      <c r="E22" s="10">
        <v>33</v>
      </c>
    </row>
    <row r="23" spans="1:5" x14ac:dyDescent="0.4">
      <c r="A23" s="5">
        <v>41395</v>
      </c>
      <c r="B23" s="2" t="s">
        <v>46</v>
      </c>
      <c r="C23" s="6" t="s">
        <v>55</v>
      </c>
      <c r="D23" s="6" t="s">
        <v>60</v>
      </c>
      <c r="E23" s="10">
        <v>7</v>
      </c>
    </row>
    <row r="24" spans="1:5" x14ac:dyDescent="0.4">
      <c r="A24" s="5">
        <v>41396</v>
      </c>
      <c r="B24" s="2" t="s">
        <v>46</v>
      </c>
      <c r="C24" s="6" t="s">
        <v>55</v>
      </c>
      <c r="D24" s="6" t="s">
        <v>61</v>
      </c>
      <c r="E24" s="10">
        <v>7</v>
      </c>
    </row>
    <row r="25" spans="1:5" x14ac:dyDescent="0.4">
      <c r="A25" s="5">
        <v>41396</v>
      </c>
      <c r="B25" s="2" t="s">
        <v>46</v>
      </c>
      <c r="C25" s="6" t="s">
        <v>56</v>
      </c>
      <c r="D25" s="6" t="s">
        <v>61</v>
      </c>
      <c r="E25" s="10">
        <v>17</v>
      </c>
    </row>
    <row r="26" spans="1:5" x14ac:dyDescent="0.4">
      <c r="A26" s="5">
        <v>41396</v>
      </c>
      <c r="B26" s="2" t="s">
        <v>47</v>
      </c>
      <c r="C26" s="6" t="s">
        <v>56</v>
      </c>
      <c r="D26" s="6" t="s">
        <v>60</v>
      </c>
      <c r="E26" s="10">
        <v>3</v>
      </c>
    </row>
    <row r="27" spans="1:5" x14ac:dyDescent="0.4">
      <c r="A27" s="5">
        <v>41396</v>
      </c>
      <c r="B27" s="2" t="s">
        <v>46</v>
      </c>
      <c r="C27" s="6" t="s">
        <v>55</v>
      </c>
      <c r="D27" s="6" t="s">
        <v>60</v>
      </c>
      <c r="E27" s="10">
        <v>7</v>
      </c>
    </row>
    <row r="28" spans="1:5" x14ac:dyDescent="0.4">
      <c r="A28" s="5">
        <v>41396</v>
      </c>
      <c r="B28" s="2" t="s">
        <v>46</v>
      </c>
      <c r="C28" s="6" t="s">
        <v>52</v>
      </c>
      <c r="D28" s="6" t="s">
        <v>60</v>
      </c>
      <c r="E28" s="10">
        <v>7</v>
      </c>
    </row>
    <row r="29" spans="1:5" x14ac:dyDescent="0.4">
      <c r="A29" s="5">
        <v>41396</v>
      </c>
      <c r="B29" s="2" t="s">
        <v>46</v>
      </c>
      <c r="C29" s="6" t="s">
        <v>50</v>
      </c>
      <c r="D29" s="6" t="s">
        <v>61</v>
      </c>
      <c r="E29" s="10">
        <v>7</v>
      </c>
    </row>
    <row r="30" spans="1:5" x14ac:dyDescent="0.4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x14ac:dyDescent="0.4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x14ac:dyDescent="0.4">
      <c r="A32" s="5">
        <v>41396</v>
      </c>
      <c r="B32" s="2" t="s">
        <v>48</v>
      </c>
      <c r="C32" s="6" t="s">
        <v>53</v>
      </c>
      <c r="D32" s="6" t="s">
        <v>61</v>
      </c>
      <c r="E32" s="10">
        <v>67</v>
      </c>
    </row>
    <row r="33" spans="1:5" x14ac:dyDescent="0.4">
      <c r="A33" s="5">
        <v>41396</v>
      </c>
      <c r="B33" s="2" t="s">
        <v>49</v>
      </c>
      <c r="C33" s="6" t="s">
        <v>50</v>
      </c>
      <c r="D33" s="6" t="s">
        <v>60</v>
      </c>
      <c r="E33" s="10">
        <v>33</v>
      </c>
    </row>
    <row r="34" spans="1:5" x14ac:dyDescent="0.4">
      <c r="A34" s="5">
        <v>41396</v>
      </c>
      <c r="B34" s="2" t="s">
        <v>44</v>
      </c>
      <c r="C34" s="6" t="s">
        <v>51</v>
      </c>
      <c r="D34" s="6" t="s">
        <v>60</v>
      </c>
      <c r="E34" s="10">
        <v>23</v>
      </c>
    </row>
    <row r="35" spans="1:5" x14ac:dyDescent="0.4">
      <c r="A35" s="5">
        <v>41396</v>
      </c>
      <c r="B35" s="2" t="s">
        <v>46</v>
      </c>
      <c r="C35" s="6" t="s">
        <v>56</v>
      </c>
      <c r="D35" s="6" t="s">
        <v>60</v>
      </c>
      <c r="E35" s="10">
        <v>7</v>
      </c>
    </row>
    <row r="36" spans="1:5" x14ac:dyDescent="0.4">
      <c r="A36" s="5">
        <v>41396</v>
      </c>
      <c r="B36" s="2" t="s">
        <v>46</v>
      </c>
      <c r="C36" s="6" t="s">
        <v>50</v>
      </c>
      <c r="D36" s="6" t="s">
        <v>60</v>
      </c>
      <c r="E36" s="10">
        <v>17</v>
      </c>
    </row>
    <row r="37" spans="1:5" x14ac:dyDescent="0.4">
      <c r="A37" s="5">
        <v>41396</v>
      </c>
      <c r="B37" s="2" t="s">
        <v>47</v>
      </c>
      <c r="C37" s="6" t="s">
        <v>55</v>
      </c>
      <c r="D37" s="6" t="s">
        <v>60</v>
      </c>
      <c r="E37" s="10">
        <v>3</v>
      </c>
    </row>
    <row r="38" spans="1:5" x14ac:dyDescent="0.4">
      <c r="A38" s="5">
        <v>41397</v>
      </c>
      <c r="B38" s="2" t="s">
        <v>47</v>
      </c>
      <c r="C38" s="6" t="s">
        <v>56</v>
      </c>
      <c r="D38" s="6" t="s">
        <v>61</v>
      </c>
      <c r="E38" s="10">
        <v>3</v>
      </c>
    </row>
    <row r="39" spans="1:5" x14ac:dyDescent="0.4">
      <c r="A39" s="5">
        <v>41397</v>
      </c>
      <c r="B39" s="2" t="s">
        <v>47</v>
      </c>
      <c r="C39" s="6" t="s">
        <v>52</v>
      </c>
      <c r="D39" s="6" t="s">
        <v>60</v>
      </c>
      <c r="E39" s="10">
        <v>3</v>
      </c>
    </row>
    <row r="40" spans="1:5" x14ac:dyDescent="0.4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x14ac:dyDescent="0.4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x14ac:dyDescent="0.4">
      <c r="A42" s="5">
        <v>41397</v>
      </c>
      <c r="B42" s="2" t="s">
        <v>48</v>
      </c>
      <c r="C42" s="6" t="s">
        <v>54</v>
      </c>
      <c r="D42" s="6" t="s">
        <v>60</v>
      </c>
      <c r="E42" s="10">
        <v>67</v>
      </c>
    </row>
    <row r="43" spans="1:5" x14ac:dyDescent="0.4">
      <c r="A43" s="5">
        <v>41397</v>
      </c>
      <c r="B43" s="2" t="s">
        <v>49</v>
      </c>
      <c r="C43" s="6" t="s">
        <v>51</v>
      </c>
      <c r="D43" s="6" t="s">
        <v>60</v>
      </c>
      <c r="E43" s="10">
        <v>33</v>
      </c>
    </row>
    <row r="44" spans="1:5" x14ac:dyDescent="0.4">
      <c r="A44" s="5">
        <v>41397</v>
      </c>
      <c r="B44" s="2" t="s">
        <v>44</v>
      </c>
      <c r="C44" s="6" t="s">
        <v>50</v>
      </c>
      <c r="D44" s="6" t="s">
        <v>61</v>
      </c>
      <c r="E44" s="10">
        <v>23</v>
      </c>
    </row>
    <row r="45" spans="1:5" x14ac:dyDescent="0.4">
      <c r="A45" s="5">
        <v>41397</v>
      </c>
      <c r="B45" s="2" t="s">
        <v>46</v>
      </c>
      <c r="C45" s="6" t="s">
        <v>54</v>
      </c>
      <c r="D45" s="6" t="s">
        <v>60</v>
      </c>
      <c r="E45" s="10">
        <v>7</v>
      </c>
    </row>
    <row r="46" spans="1:5" x14ac:dyDescent="0.4">
      <c r="A46" s="5">
        <v>41398</v>
      </c>
      <c r="B46" s="2" t="s">
        <v>46</v>
      </c>
      <c r="C46" s="6" t="s">
        <v>51</v>
      </c>
      <c r="D46" s="6" t="s">
        <v>60</v>
      </c>
      <c r="E46" s="10">
        <v>17</v>
      </c>
    </row>
    <row r="47" spans="1:5" x14ac:dyDescent="0.4">
      <c r="A47" s="5">
        <v>41398</v>
      </c>
      <c r="B47" s="2" t="s">
        <v>47</v>
      </c>
      <c r="C47" s="6" t="s">
        <v>53</v>
      </c>
      <c r="D47" s="6" t="s">
        <v>60</v>
      </c>
      <c r="E47" s="10">
        <v>3</v>
      </c>
    </row>
    <row r="48" spans="1:5" x14ac:dyDescent="0.4">
      <c r="A48" s="5">
        <v>41398</v>
      </c>
      <c r="B48" s="2" t="s">
        <v>47</v>
      </c>
      <c r="C48" s="6" t="s">
        <v>56</v>
      </c>
      <c r="D48" s="6" t="s">
        <v>61</v>
      </c>
      <c r="E48" s="10">
        <v>3</v>
      </c>
    </row>
    <row r="49" spans="1:5" x14ac:dyDescent="0.4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x14ac:dyDescent="0.4">
      <c r="A50" s="5">
        <v>41398</v>
      </c>
      <c r="B50" s="2" t="s">
        <v>47</v>
      </c>
      <c r="C50" s="6" t="s">
        <v>50</v>
      </c>
      <c r="D50" s="6" t="s">
        <v>61</v>
      </c>
      <c r="E50" s="10">
        <v>3</v>
      </c>
    </row>
    <row r="51" spans="1:5" x14ac:dyDescent="0.4">
      <c r="A51" s="5">
        <v>41398</v>
      </c>
      <c r="B51" s="2" t="s">
        <v>47</v>
      </c>
      <c r="C51" s="6" t="s">
        <v>51</v>
      </c>
      <c r="D51" s="6" t="s">
        <v>60</v>
      </c>
      <c r="E51" s="10">
        <v>3</v>
      </c>
    </row>
    <row r="52" spans="1:5" x14ac:dyDescent="0.4">
      <c r="A52" s="5">
        <v>41398</v>
      </c>
      <c r="B52" s="2" t="s">
        <v>47</v>
      </c>
      <c r="C52" s="6" t="s">
        <v>54</v>
      </c>
      <c r="D52" s="6" t="s">
        <v>60</v>
      </c>
      <c r="E52" s="10">
        <v>3</v>
      </c>
    </row>
    <row r="53" spans="1:5" x14ac:dyDescent="0.4">
      <c r="A53" s="5">
        <v>41399</v>
      </c>
      <c r="B53" s="2" t="s">
        <v>49</v>
      </c>
      <c r="C53" s="6" t="s">
        <v>56</v>
      </c>
      <c r="D53" s="6" t="s">
        <v>60</v>
      </c>
      <c r="E53" s="10">
        <v>33</v>
      </c>
    </row>
    <row r="54" spans="1:5" x14ac:dyDescent="0.4">
      <c r="A54" s="5">
        <v>41399</v>
      </c>
      <c r="B54" s="2" t="s">
        <v>49</v>
      </c>
      <c r="C54" s="6" t="s">
        <v>53</v>
      </c>
      <c r="D54" s="6" t="s">
        <v>61</v>
      </c>
      <c r="E54" s="10">
        <v>33</v>
      </c>
    </row>
    <row r="55" spans="1:5" x14ac:dyDescent="0.4">
      <c r="A55" s="5">
        <v>41399</v>
      </c>
      <c r="B55" s="2" t="s">
        <v>46</v>
      </c>
      <c r="C55" s="6" t="s">
        <v>51</v>
      </c>
      <c r="D55" s="6" t="s">
        <v>60</v>
      </c>
      <c r="E55" s="10">
        <v>7</v>
      </c>
    </row>
    <row r="56" spans="1:5" x14ac:dyDescent="0.4">
      <c r="A56" s="5">
        <v>41399</v>
      </c>
      <c r="B56" s="2" t="s">
        <v>46</v>
      </c>
      <c r="C56" s="6" t="s">
        <v>51</v>
      </c>
      <c r="D56" s="6" t="s">
        <v>60</v>
      </c>
      <c r="E56" s="10">
        <v>17</v>
      </c>
    </row>
    <row r="57" spans="1:5" x14ac:dyDescent="0.4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4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x14ac:dyDescent="0.4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4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x14ac:dyDescent="0.4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x14ac:dyDescent="0.4">
      <c r="A62" s="5">
        <v>41399</v>
      </c>
      <c r="B62" s="2" t="s">
        <v>48</v>
      </c>
      <c r="C62" s="6" t="s">
        <v>56</v>
      </c>
      <c r="D62" s="6" t="s">
        <v>60</v>
      </c>
      <c r="E62" s="10">
        <v>67</v>
      </c>
    </row>
    <row r="63" spans="1:5" x14ac:dyDescent="0.4">
      <c r="A63" s="5">
        <v>41399</v>
      </c>
      <c r="B63" s="2" t="s">
        <v>49</v>
      </c>
      <c r="C63" s="6" t="s">
        <v>51</v>
      </c>
      <c r="D63" s="6" t="s">
        <v>60</v>
      </c>
      <c r="E63" s="10">
        <v>33</v>
      </c>
    </row>
    <row r="64" spans="1:5" x14ac:dyDescent="0.4">
      <c r="A64" s="5">
        <v>41399</v>
      </c>
      <c r="B64" s="2" t="s">
        <v>46</v>
      </c>
      <c r="C64" s="6" t="s">
        <v>55</v>
      </c>
      <c r="D64" s="6" t="s">
        <v>60</v>
      </c>
      <c r="E64" s="10">
        <v>7</v>
      </c>
    </row>
    <row r="65" spans="1:5" x14ac:dyDescent="0.4">
      <c r="A65" s="5">
        <v>41399</v>
      </c>
      <c r="B65" s="2" t="s">
        <v>46</v>
      </c>
      <c r="C65" s="6" t="s">
        <v>54</v>
      </c>
      <c r="D65" s="6" t="s">
        <v>60</v>
      </c>
      <c r="E65" s="10">
        <v>7</v>
      </c>
    </row>
    <row r="66" spans="1:5" x14ac:dyDescent="0.4">
      <c r="A66" s="5">
        <v>41400</v>
      </c>
      <c r="B66" s="2" t="s">
        <v>49</v>
      </c>
      <c r="C66" s="6" t="s">
        <v>54</v>
      </c>
      <c r="D66" s="6" t="s">
        <v>60</v>
      </c>
      <c r="E66" s="10">
        <v>33</v>
      </c>
    </row>
    <row r="67" spans="1:5" x14ac:dyDescent="0.4">
      <c r="A67" s="5">
        <v>41400</v>
      </c>
      <c r="B67" s="2" t="s">
        <v>46</v>
      </c>
      <c r="C67" s="6" t="s">
        <v>56</v>
      </c>
      <c r="D67" s="6" t="s">
        <v>61</v>
      </c>
      <c r="E67" s="10">
        <v>7</v>
      </c>
    </row>
    <row r="68" spans="1:5" x14ac:dyDescent="0.4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x14ac:dyDescent="0.4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4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x14ac:dyDescent="0.4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x14ac:dyDescent="0.4">
      <c r="A72" s="5">
        <v>41400</v>
      </c>
      <c r="B72" s="2" t="s">
        <v>48</v>
      </c>
      <c r="C72" s="6" t="s">
        <v>54</v>
      </c>
      <c r="D72" s="6" t="s">
        <v>60</v>
      </c>
      <c r="E72" s="10">
        <v>67</v>
      </c>
    </row>
    <row r="73" spans="1:5" x14ac:dyDescent="0.4">
      <c r="A73" s="5">
        <v>41400</v>
      </c>
      <c r="B73" s="2" t="s">
        <v>49</v>
      </c>
      <c r="C73" s="6" t="s">
        <v>56</v>
      </c>
      <c r="D73" s="6" t="s">
        <v>60</v>
      </c>
      <c r="E73" s="10">
        <v>33</v>
      </c>
    </row>
    <row r="74" spans="1:5" x14ac:dyDescent="0.4">
      <c r="A74" s="5">
        <v>41400</v>
      </c>
      <c r="B74" s="2" t="s">
        <v>44</v>
      </c>
      <c r="C74" s="6" t="s">
        <v>53</v>
      </c>
      <c r="D74" s="6" t="s">
        <v>60</v>
      </c>
      <c r="E74" s="10">
        <v>23</v>
      </c>
    </row>
    <row r="75" spans="1:5" x14ac:dyDescent="0.4">
      <c r="A75" s="5">
        <v>41401</v>
      </c>
      <c r="B75" s="2" t="s">
        <v>49</v>
      </c>
      <c r="C75" s="6" t="s">
        <v>56</v>
      </c>
      <c r="D75" s="6" t="s">
        <v>61</v>
      </c>
      <c r="E75" s="10">
        <v>33</v>
      </c>
    </row>
    <row r="76" spans="1:5" x14ac:dyDescent="0.4">
      <c r="A76" s="5">
        <v>41401</v>
      </c>
      <c r="B76" s="2" t="s">
        <v>46</v>
      </c>
      <c r="C76" s="6" t="s">
        <v>54</v>
      </c>
      <c r="D76" s="6" t="s">
        <v>60</v>
      </c>
      <c r="E76" s="10">
        <v>17</v>
      </c>
    </row>
    <row r="77" spans="1:5" x14ac:dyDescent="0.4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4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x14ac:dyDescent="0.4">
      <c r="A79" s="5">
        <v>41401</v>
      </c>
      <c r="B79" s="2" t="s">
        <v>46</v>
      </c>
      <c r="C79" s="6" t="s">
        <v>54</v>
      </c>
      <c r="D79" s="6" t="s">
        <v>60</v>
      </c>
      <c r="E79" s="10">
        <v>7</v>
      </c>
    </row>
    <row r="80" spans="1:5" x14ac:dyDescent="0.4">
      <c r="A80" s="5">
        <v>41401</v>
      </c>
      <c r="B80" s="2" t="s">
        <v>46</v>
      </c>
      <c r="C80" s="6" t="s">
        <v>55</v>
      </c>
      <c r="D80" s="6" t="s">
        <v>60</v>
      </c>
      <c r="E80" s="10">
        <v>7</v>
      </c>
    </row>
    <row r="81" spans="1:5" x14ac:dyDescent="0.4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x14ac:dyDescent="0.4">
      <c r="A82" s="5">
        <v>41402</v>
      </c>
      <c r="B82" s="2" t="s">
        <v>48</v>
      </c>
      <c r="C82" s="6" t="s">
        <v>54</v>
      </c>
      <c r="D82" s="6" t="s">
        <v>61</v>
      </c>
      <c r="E82" s="10">
        <v>67</v>
      </c>
    </row>
    <row r="83" spans="1:5" x14ac:dyDescent="0.4">
      <c r="A83" s="5">
        <v>41402</v>
      </c>
      <c r="B83" s="2" t="s">
        <v>46</v>
      </c>
      <c r="C83" s="6" t="s">
        <v>52</v>
      </c>
      <c r="D83" s="6" t="s">
        <v>61</v>
      </c>
      <c r="E83" s="10">
        <v>7</v>
      </c>
    </row>
    <row r="84" spans="1:5" x14ac:dyDescent="0.4">
      <c r="A84" s="5">
        <v>41402</v>
      </c>
      <c r="B84" s="2" t="s">
        <v>46</v>
      </c>
      <c r="C84" s="6" t="s">
        <v>54</v>
      </c>
      <c r="D84" s="6" t="s">
        <v>61</v>
      </c>
      <c r="E84" s="10">
        <v>7</v>
      </c>
    </row>
    <row r="85" spans="1:5" x14ac:dyDescent="0.4">
      <c r="A85" s="5">
        <v>41402</v>
      </c>
      <c r="B85" s="2" t="s">
        <v>49</v>
      </c>
      <c r="C85" s="6" t="s">
        <v>55</v>
      </c>
      <c r="D85" s="6" t="s">
        <v>60</v>
      </c>
      <c r="E85" s="10">
        <v>33</v>
      </c>
    </row>
    <row r="86" spans="1:5" x14ac:dyDescent="0.4">
      <c r="A86" s="5">
        <v>41402</v>
      </c>
      <c r="B86" s="2" t="s">
        <v>46</v>
      </c>
      <c r="C86" s="6" t="s">
        <v>53</v>
      </c>
      <c r="D86" s="6" t="s">
        <v>60</v>
      </c>
      <c r="E86" s="10">
        <v>17</v>
      </c>
    </row>
    <row r="87" spans="1:5" x14ac:dyDescent="0.4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4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x14ac:dyDescent="0.4">
      <c r="A89" s="5">
        <v>41402</v>
      </c>
      <c r="B89" s="2" t="s">
        <v>46</v>
      </c>
      <c r="C89" s="6" t="s">
        <v>54</v>
      </c>
      <c r="D89" s="6" t="s">
        <v>60</v>
      </c>
      <c r="E89" s="10">
        <v>7</v>
      </c>
    </row>
    <row r="90" spans="1:5" x14ac:dyDescent="0.4">
      <c r="A90" s="5">
        <v>41402</v>
      </c>
      <c r="B90" s="2" t="s">
        <v>49</v>
      </c>
      <c r="C90" s="6" t="s">
        <v>53</v>
      </c>
      <c r="D90" s="6" t="s">
        <v>61</v>
      </c>
      <c r="E90" s="10">
        <v>33</v>
      </c>
    </row>
    <row r="91" spans="1:5" x14ac:dyDescent="0.4">
      <c r="A91" s="5">
        <v>41402</v>
      </c>
      <c r="B91" s="2" t="s">
        <v>46</v>
      </c>
      <c r="C91" s="6" t="s">
        <v>56</v>
      </c>
      <c r="D91" s="6" t="s">
        <v>60</v>
      </c>
      <c r="E91" s="10">
        <v>7</v>
      </c>
    </row>
    <row r="92" spans="1:5" x14ac:dyDescent="0.4">
      <c r="A92" s="5">
        <v>41402</v>
      </c>
      <c r="B92" s="2" t="s">
        <v>49</v>
      </c>
      <c r="C92" s="6" t="s">
        <v>50</v>
      </c>
      <c r="D92" s="6" t="s">
        <v>60</v>
      </c>
      <c r="E92" s="10">
        <v>33</v>
      </c>
    </row>
    <row r="93" spans="1:5" x14ac:dyDescent="0.4">
      <c r="A93" s="5">
        <v>41402</v>
      </c>
      <c r="B93" s="2" t="s">
        <v>46</v>
      </c>
      <c r="C93" s="6" t="s">
        <v>55</v>
      </c>
      <c r="D93" s="6" t="s">
        <v>61</v>
      </c>
      <c r="E93" s="10">
        <v>7</v>
      </c>
    </row>
    <row r="94" spans="1:5" x14ac:dyDescent="0.4">
      <c r="A94" s="5">
        <v>41403</v>
      </c>
      <c r="B94" s="2" t="s">
        <v>46</v>
      </c>
      <c r="C94" s="6" t="s">
        <v>55</v>
      </c>
      <c r="D94" s="6" t="s">
        <v>61</v>
      </c>
      <c r="E94" s="10">
        <v>7</v>
      </c>
    </row>
    <row r="95" spans="1:5" x14ac:dyDescent="0.4">
      <c r="A95" s="5">
        <v>41403</v>
      </c>
      <c r="B95" s="2" t="s">
        <v>46</v>
      </c>
      <c r="C95" s="6" t="s">
        <v>54</v>
      </c>
      <c r="D95" s="6" t="s">
        <v>60</v>
      </c>
      <c r="E95" s="10">
        <v>7</v>
      </c>
    </row>
    <row r="96" spans="1:5" x14ac:dyDescent="0.4">
      <c r="A96" s="5">
        <v>41403</v>
      </c>
      <c r="B96" s="2" t="s">
        <v>46</v>
      </c>
      <c r="C96" s="6" t="s">
        <v>54</v>
      </c>
      <c r="D96" s="6" t="s">
        <v>61</v>
      </c>
      <c r="E96" s="10">
        <v>17</v>
      </c>
    </row>
    <row r="97" spans="1:5" x14ac:dyDescent="0.4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4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x14ac:dyDescent="0.4">
      <c r="A99" s="5">
        <v>41403</v>
      </c>
      <c r="B99" s="2" t="s">
        <v>46</v>
      </c>
      <c r="C99" s="6" t="s">
        <v>54</v>
      </c>
      <c r="D99" s="6" t="s">
        <v>60</v>
      </c>
      <c r="E99" s="10">
        <v>7</v>
      </c>
    </row>
    <row r="100" spans="1:5" x14ac:dyDescent="0.4">
      <c r="A100" s="5">
        <v>41403</v>
      </c>
      <c r="B100" s="2" t="s">
        <v>46</v>
      </c>
      <c r="C100" s="6" t="s">
        <v>55</v>
      </c>
      <c r="D100" s="6" t="s">
        <v>60</v>
      </c>
      <c r="E100" s="10">
        <v>7</v>
      </c>
    </row>
    <row r="101" spans="1:5" x14ac:dyDescent="0.4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x14ac:dyDescent="0.4">
      <c r="A102" s="5">
        <v>41403</v>
      </c>
      <c r="B102" s="2" t="s">
        <v>46</v>
      </c>
      <c r="C102" s="6" t="s">
        <v>51</v>
      </c>
      <c r="D102" s="6" t="s">
        <v>61</v>
      </c>
      <c r="E102" s="10">
        <v>7</v>
      </c>
    </row>
    <row r="103" spans="1:5" x14ac:dyDescent="0.4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4">
      <c r="A104" s="5">
        <v>41404</v>
      </c>
      <c r="B104" s="2" t="s">
        <v>44</v>
      </c>
      <c r="C104" s="6" t="s">
        <v>50</v>
      </c>
      <c r="D104" s="6" t="s">
        <v>60</v>
      </c>
      <c r="E104" s="10">
        <v>23</v>
      </c>
    </row>
    <row r="105" spans="1:5" x14ac:dyDescent="0.4">
      <c r="A105" s="5">
        <v>41404</v>
      </c>
      <c r="B105" s="2" t="s">
        <v>46</v>
      </c>
      <c r="C105" s="6" t="s">
        <v>54</v>
      </c>
      <c r="D105" s="6" t="s">
        <v>60</v>
      </c>
      <c r="E105" s="10">
        <v>7</v>
      </c>
    </row>
    <row r="106" spans="1:5" x14ac:dyDescent="0.4">
      <c r="A106" s="5">
        <v>41404</v>
      </c>
      <c r="B106" s="2" t="s">
        <v>46</v>
      </c>
      <c r="C106" s="6" t="s">
        <v>54</v>
      </c>
      <c r="D106" s="6" t="s">
        <v>61</v>
      </c>
      <c r="E106" s="10">
        <v>17</v>
      </c>
    </row>
    <row r="107" spans="1:5" x14ac:dyDescent="0.4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x14ac:dyDescent="0.4">
      <c r="A108" s="5">
        <v>41404</v>
      </c>
      <c r="B108" s="2" t="s">
        <v>49</v>
      </c>
      <c r="C108" s="6" t="s">
        <v>54</v>
      </c>
      <c r="D108" s="6" t="s">
        <v>61</v>
      </c>
      <c r="E108" s="10">
        <v>33</v>
      </c>
    </row>
    <row r="109" spans="1:5" x14ac:dyDescent="0.4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4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x14ac:dyDescent="0.4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x14ac:dyDescent="0.4">
      <c r="A112" s="5">
        <v>41404</v>
      </c>
      <c r="B112" s="2" t="s">
        <v>48</v>
      </c>
      <c r="C112" s="6" t="s">
        <v>55</v>
      </c>
      <c r="D112" s="6" t="s">
        <v>60</v>
      </c>
      <c r="E112" s="10">
        <v>67</v>
      </c>
    </row>
    <row r="113" spans="1:5" x14ac:dyDescent="0.4">
      <c r="A113" s="5">
        <v>41404</v>
      </c>
      <c r="B113" s="2" t="s">
        <v>49</v>
      </c>
      <c r="C113" s="6" t="s">
        <v>54</v>
      </c>
      <c r="D113" s="6" t="s">
        <v>61</v>
      </c>
      <c r="E113" s="10">
        <v>33</v>
      </c>
    </row>
    <row r="114" spans="1:5" x14ac:dyDescent="0.4">
      <c r="A114" s="5">
        <v>41404</v>
      </c>
      <c r="B114" s="2" t="s">
        <v>44</v>
      </c>
      <c r="C114" s="6" t="s">
        <v>50</v>
      </c>
      <c r="D114" s="6" t="s">
        <v>61</v>
      </c>
      <c r="E114" s="10">
        <v>23</v>
      </c>
    </row>
    <row r="115" spans="1:5" x14ac:dyDescent="0.4">
      <c r="A115" s="5">
        <v>41405</v>
      </c>
      <c r="B115" s="2" t="s">
        <v>46</v>
      </c>
      <c r="C115" s="6" t="s">
        <v>56</v>
      </c>
      <c r="D115" s="6" t="s">
        <v>61</v>
      </c>
      <c r="E115" s="10">
        <v>7</v>
      </c>
    </row>
    <row r="116" spans="1:5" x14ac:dyDescent="0.4">
      <c r="A116" s="5">
        <v>41405</v>
      </c>
      <c r="B116" s="2" t="s">
        <v>46</v>
      </c>
      <c r="C116" s="6" t="s">
        <v>53</v>
      </c>
      <c r="D116" s="6" t="s">
        <v>61</v>
      </c>
      <c r="E116" s="10">
        <v>17</v>
      </c>
    </row>
    <row r="117" spans="1:5" x14ac:dyDescent="0.4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x14ac:dyDescent="0.4">
      <c r="A118" s="5">
        <v>41405</v>
      </c>
      <c r="B118" s="2" t="s">
        <v>46</v>
      </c>
      <c r="C118" s="6" t="s">
        <v>51</v>
      </c>
      <c r="D118" s="6" t="s">
        <v>60</v>
      </c>
      <c r="E118" s="10">
        <v>7</v>
      </c>
    </row>
    <row r="119" spans="1:5" x14ac:dyDescent="0.4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x14ac:dyDescent="0.4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x14ac:dyDescent="0.4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x14ac:dyDescent="0.4">
      <c r="A122" s="5">
        <v>41405</v>
      </c>
      <c r="B122" s="2" t="s">
        <v>46</v>
      </c>
      <c r="C122" s="6" t="s">
        <v>53</v>
      </c>
      <c r="D122" s="6" t="s">
        <v>60</v>
      </c>
      <c r="E122" s="10">
        <v>7</v>
      </c>
    </row>
    <row r="123" spans="1:5" x14ac:dyDescent="0.4">
      <c r="A123" s="5">
        <v>41405</v>
      </c>
      <c r="B123" s="2" t="s">
        <v>49</v>
      </c>
      <c r="C123" s="6" t="s">
        <v>52</v>
      </c>
      <c r="D123" s="6" t="s">
        <v>60</v>
      </c>
      <c r="E123" s="10">
        <v>33</v>
      </c>
    </row>
    <row r="124" spans="1:5" x14ac:dyDescent="0.4">
      <c r="A124" s="5">
        <v>41405</v>
      </c>
      <c r="B124" s="2" t="s">
        <v>44</v>
      </c>
      <c r="C124" s="6" t="s">
        <v>53</v>
      </c>
      <c r="D124" s="6" t="s">
        <v>61</v>
      </c>
      <c r="E124" s="10">
        <v>23</v>
      </c>
    </row>
    <row r="125" spans="1:5" x14ac:dyDescent="0.4">
      <c r="A125" s="5">
        <v>41406</v>
      </c>
      <c r="B125" s="2" t="s">
        <v>46</v>
      </c>
      <c r="C125" s="6" t="s">
        <v>55</v>
      </c>
      <c r="D125" s="6" t="s">
        <v>61</v>
      </c>
      <c r="E125" s="10">
        <v>7</v>
      </c>
    </row>
    <row r="126" spans="1:5" x14ac:dyDescent="0.4">
      <c r="A126" s="5">
        <v>41406</v>
      </c>
      <c r="B126" s="2" t="s">
        <v>46</v>
      </c>
      <c r="C126" s="6" t="s">
        <v>55</v>
      </c>
      <c r="D126" s="6" t="s">
        <v>60</v>
      </c>
      <c r="E126" s="10">
        <v>17</v>
      </c>
    </row>
    <row r="127" spans="1:5" x14ac:dyDescent="0.4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x14ac:dyDescent="0.4">
      <c r="A128" s="5">
        <v>41406</v>
      </c>
      <c r="B128" s="2" t="s">
        <v>46</v>
      </c>
      <c r="C128" s="6" t="s">
        <v>50</v>
      </c>
      <c r="D128" s="6" t="s">
        <v>60</v>
      </c>
      <c r="E128" s="10">
        <v>7</v>
      </c>
    </row>
    <row r="129" spans="1:5" x14ac:dyDescent="0.4">
      <c r="A129" s="5">
        <v>41406</v>
      </c>
      <c r="B129" s="2" t="s">
        <v>46</v>
      </c>
      <c r="C129" s="6" t="s">
        <v>55</v>
      </c>
      <c r="D129" s="6" t="s">
        <v>61</v>
      </c>
      <c r="E129" s="10">
        <v>7</v>
      </c>
    </row>
    <row r="130" spans="1:5" x14ac:dyDescent="0.4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x14ac:dyDescent="0.4">
      <c r="A131" s="5">
        <v>41406</v>
      </c>
      <c r="B131" s="7" t="s">
        <v>45</v>
      </c>
      <c r="C131" s="6" t="s">
        <v>50</v>
      </c>
      <c r="D131" s="6" t="s">
        <v>61</v>
      </c>
      <c r="E131" s="10">
        <v>33</v>
      </c>
    </row>
    <row r="132" spans="1:5" x14ac:dyDescent="0.4">
      <c r="A132" s="5">
        <v>41406</v>
      </c>
      <c r="B132" s="2" t="s">
        <v>46</v>
      </c>
      <c r="C132" s="6" t="s">
        <v>50</v>
      </c>
      <c r="D132" s="6" t="s">
        <v>61</v>
      </c>
      <c r="E132" s="10">
        <v>7</v>
      </c>
    </row>
    <row r="133" spans="1:5" x14ac:dyDescent="0.4">
      <c r="A133" s="5">
        <v>41407</v>
      </c>
      <c r="B133" s="2" t="s">
        <v>46</v>
      </c>
      <c r="C133" s="6" t="s">
        <v>52</v>
      </c>
      <c r="D133" s="6" t="s">
        <v>60</v>
      </c>
      <c r="E133" s="10">
        <v>7</v>
      </c>
    </row>
    <row r="134" spans="1:5" x14ac:dyDescent="0.4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x14ac:dyDescent="0.4">
      <c r="A135" s="5">
        <v>41407</v>
      </c>
      <c r="B135" s="2" t="s">
        <v>46</v>
      </c>
      <c r="C135" s="6" t="s">
        <v>54</v>
      </c>
      <c r="D135" s="6" t="s">
        <v>60</v>
      </c>
      <c r="E135" s="10">
        <v>7</v>
      </c>
    </row>
    <row r="136" spans="1:5" x14ac:dyDescent="0.4">
      <c r="A136" s="5">
        <v>41407</v>
      </c>
      <c r="B136" s="2" t="s">
        <v>46</v>
      </c>
      <c r="C136" s="6" t="s">
        <v>54</v>
      </c>
      <c r="D136" s="6" t="s">
        <v>60</v>
      </c>
      <c r="E136" s="10">
        <v>7</v>
      </c>
    </row>
    <row r="137" spans="1:5" x14ac:dyDescent="0.4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x14ac:dyDescent="0.4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x14ac:dyDescent="0.4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x14ac:dyDescent="0.4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x14ac:dyDescent="0.4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x14ac:dyDescent="0.4">
      <c r="A142" s="5">
        <v>41407</v>
      </c>
      <c r="B142" s="2" t="s">
        <v>48</v>
      </c>
      <c r="C142" s="6" t="s">
        <v>56</v>
      </c>
      <c r="D142" s="6" t="s">
        <v>60</v>
      </c>
      <c r="E142" s="10">
        <v>67</v>
      </c>
    </row>
    <row r="143" spans="1:5" x14ac:dyDescent="0.4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x14ac:dyDescent="0.4">
      <c r="A144" s="5">
        <v>41407</v>
      </c>
      <c r="B144" s="2" t="s">
        <v>48</v>
      </c>
      <c r="C144" s="6" t="s">
        <v>54</v>
      </c>
      <c r="D144" s="6" t="s">
        <v>61</v>
      </c>
      <c r="E144" s="10">
        <v>67</v>
      </c>
    </row>
    <row r="145" spans="1:5" x14ac:dyDescent="0.4">
      <c r="A145" s="5">
        <v>41407</v>
      </c>
      <c r="B145" s="2" t="s">
        <v>46</v>
      </c>
      <c r="C145" s="6" t="s">
        <v>53</v>
      </c>
      <c r="D145" s="6" t="s">
        <v>61</v>
      </c>
      <c r="E145" s="10">
        <v>7</v>
      </c>
    </row>
    <row r="146" spans="1:5" x14ac:dyDescent="0.4">
      <c r="A146" s="5">
        <v>41407</v>
      </c>
      <c r="B146" s="2" t="s">
        <v>46</v>
      </c>
      <c r="C146" s="6" t="s">
        <v>51</v>
      </c>
      <c r="D146" s="6" t="s">
        <v>60</v>
      </c>
      <c r="E146" s="10">
        <v>17</v>
      </c>
    </row>
    <row r="147" spans="1:5" x14ac:dyDescent="0.4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x14ac:dyDescent="0.4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x14ac:dyDescent="0.4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x14ac:dyDescent="0.4">
      <c r="A150" s="5">
        <v>41408</v>
      </c>
      <c r="B150" s="2" t="s">
        <v>48</v>
      </c>
      <c r="C150" s="6" t="s">
        <v>52</v>
      </c>
      <c r="D150" s="6" t="s">
        <v>60</v>
      </c>
      <c r="E150" s="10">
        <v>67</v>
      </c>
    </row>
    <row r="151" spans="1:5" x14ac:dyDescent="0.4">
      <c r="A151" s="5">
        <v>41408</v>
      </c>
      <c r="B151" s="2" t="s">
        <v>48</v>
      </c>
      <c r="C151" s="6" t="s">
        <v>52</v>
      </c>
      <c r="D151" s="6" t="s">
        <v>60</v>
      </c>
      <c r="E151" s="10">
        <v>67</v>
      </c>
    </row>
    <row r="152" spans="1:5" x14ac:dyDescent="0.4">
      <c r="A152" s="5">
        <v>41408</v>
      </c>
      <c r="B152" s="7" t="s">
        <v>45</v>
      </c>
      <c r="C152" s="6" t="s">
        <v>53</v>
      </c>
      <c r="D152" s="6" t="s">
        <v>60</v>
      </c>
      <c r="E152" s="10">
        <v>33</v>
      </c>
    </row>
    <row r="153" spans="1:5" x14ac:dyDescent="0.4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x14ac:dyDescent="0.4">
      <c r="A154" s="5">
        <v>41408</v>
      </c>
      <c r="B154" s="2" t="s">
        <v>48</v>
      </c>
      <c r="C154" s="6" t="s">
        <v>54</v>
      </c>
      <c r="D154" s="6" t="s">
        <v>60</v>
      </c>
      <c r="E154" s="10">
        <v>67</v>
      </c>
    </row>
    <row r="155" spans="1:5" x14ac:dyDescent="0.4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x14ac:dyDescent="0.4">
      <c r="A156" s="5">
        <v>41409</v>
      </c>
      <c r="B156" s="2" t="s">
        <v>46</v>
      </c>
      <c r="C156" s="6" t="s">
        <v>55</v>
      </c>
      <c r="D156" s="6" t="s">
        <v>61</v>
      </c>
      <c r="E156" s="10">
        <v>17</v>
      </c>
    </row>
    <row r="157" spans="1:5" x14ac:dyDescent="0.4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4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x14ac:dyDescent="0.4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x14ac:dyDescent="0.4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x14ac:dyDescent="0.4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x14ac:dyDescent="0.4">
      <c r="A162" s="5">
        <v>41409</v>
      </c>
      <c r="B162" s="2" t="s">
        <v>48</v>
      </c>
      <c r="C162" s="6" t="s">
        <v>51</v>
      </c>
      <c r="D162" s="6" t="s">
        <v>60</v>
      </c>
      <c r="E162" s="10">
        <v>67</v>
      </c>
    </row>
    <row r="163" spans="1:5" x14ac:dyDescent="0.4">
      <c r="A163" s="5">
        <v>41409</v>
      </c>
      <c r="B163" s="2" t="s">
        <v>48</v>
      </c>
      <c r="C163" s="6" t="s">
        <v>50</v>
      </c>
      <c r="D163" s="6" t="s">
        <v>61</v>
      </c>
      <c r="E163" s="10">
        <v>67</v>
      </c>
    </row>
    <row r="164" spans="1:5" x14ac:dyDescent="0.4">
      <c r="A164" s="5">
        <v>41409</v>
      </c>
      <c r="B164" s="2" t="s">
        <v>44</v>
      </c>
      <c r="C164" s="6" t="s">
        <v>56</v>
      </c>
      <c r="D164" s="6" t="s">
        <v>61</v>
      </c>
      <c r="E164" s="10">
        <v>23</v>
      </c>
    </row>
    <row r="165" spans="1:5" x14ac:dyDescent="0.4">
      <c r="A165" s="5">
        <v>41410</v>
      </c>
      <c r="B165" s="2" t="s">
        <v>46</v>
      </c>
      <c r="C165" s="6" t="s">
        <v>56</v>
      </c>
      <c r="D165" s="6" t="s">
        <v>60</v>
      </c>
      <c r="E165" s="10">
        <v>7</v>
      </c>
    </row>
    <row r="166" spans="1:5" x14ac:dyDescent="0.4">
      <c r="A166" s="5">
        <v>41410</v>
      </c>
      <c r="B166" s="2" t="s">
        <v>46</v>
      </c>
      <c r="C166" s="6" t="s">
        <v>55</v>
      </c>
      <c r="D166" s="6" t="s">
        <v>60</v>
      </c>
      <c r="E166" s="10">
        <v>17</v>
      </c>
    </row>
    <row r="167" spans="1:5" x14ac:dyDescent="0.4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x14ac:dyDescent="0.4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x14ac:dyDescent="0.4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4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x14ac:dyDescent="0.4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x14ac:dyDescent="0.4">
      <c r="A172" s="5">
        <v>41410</v>
      </c>
      <c r="B172" s="2" t="s">
        <v>48</v>
      </c>
      <c r="C172" s="6" t="s">
        <v>55</v>
      </c>
      <c r="D172" s="6" t="s">
        <v>60</v>
      </c>
      <c r="E172" s="10">
        <v>67</v>
      </c>
    </row>
    <row r="173" spans="1:5" x14ac:dyDescent="0.4">
      <c r="A173" s="5">
        <v>41410</v>
      </c>
      <c r="B173" s="2" t="s">
        <v>49</v>
      </c>
      <c r="C173" s="6" t="s">
        <v>53</v>
      </c>
      <c r="D173" s="6" t="s">
        <v>61</v>
      </c>
      <c r="E173" s="10">
        <v>33</v>
      </c>
    </row>
    <row r="174" spans="1:5" x14ac:dyDescent="0.4">
      <c r="A174" s="5">
        <v>41410</v>
      </c>
      <c r="B174" s="2" t="s">
        <v>44</v>
      </c>
      <c r="C174" s="6" t="s">
        <v>56</v>
      </c>
      <c r="D174" s="6" t="s">
        <v>60</v>
      </c>
      <c r="E174" s="10">
        <v>23</v>
      </c>
    </row>
    <row r="175" spans="1:5" x14ac:dyDescent="0.4">
      <c r="A175" s="5">
        <v>41410</v>
      </c>
      <c r="B175" s="2" t="s">
        <v>46</v>
      </c>
      <c r="C175" s="6" t="s">
        <v>54</v>
      </c>
      <c r="D175" s="6" t="s">
        <v>60</v>
      </c>
      <c r="E175" s="10">
        <v>7</v>
      </c>
    </row>
    <row r="176" spans="1:5" x14ac:dyDescent="0.4">
      <c r="A176" s="5">
        <v>41410</v>
      </c>
      <c r="B176" s="2" t="s">
        <v>46</v>
      </c>
      <c r="C176" s="6" t="s">
        <v>52</v>
      </c>
      <c r="D176" s="6" t="s">
        <v>61</v>
      </c>
      <c r="E176" s="10">
        <v>17</v>
      </c>
    </row>
    <row r="177" spans="1:5" x14ac:dyDescent="0.4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x14ac:dyDescent="0.4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x14ac:dyDescent="0.4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4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x14ac:dyDescent="0.4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x14ac:dyDescent="0.4">
      <c r="A182" s="5">
        <v>41411</v>
      </c>
      <c r="B182" s="2" t="s">
        <v>48</v>
      </c>
      <c r="C182" s="6" t="s">
        <v>51</v>
      </c>
      <c r="D182" s="6" t="s">
        <v>61</v>
      </c>
      <c r="E182" s="10">
        <v>67</v>
      </c>
    </row>
    <row r="183" spans="1:5" x14ac:dyDescent="0.4">
      <c r="A183" s="5">
        <v>41411</v>
      </c>
      <c r="B183" s="2" t="s">
        <v>49</v>
      </c>
      <c r="C183" s="6" t="s">
        <v>54</v>
      </c>
      <c r="D183" s="6" t="s">
        <v>61</v>
      </c>
      <c r="E183" s="10">
        <v>33</v>
      </c>
    </row>
    <row r="184" spans="1:5" x14ac:dyDescent="0.4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x14ac:dyDescent="0.4">
      <c r="A185" s="5">
        <v>41411</v>
      </c>
      <c r="B185" s="2" t="s">
        <v>46</v>
      </c>
      <c r="C185" s="6" t="s">
        <v>56</v>
      </c>
      <c r="D185" s="6" t="s">
        <v>60</v>
      </c>
      <c r="E185" s="10">
        <v>7</v>
      </c>
    </row>
    <row r="186" spans="1:5" x14ac:dyDescent="0.4">
      <c r="A186" s="5">
        <v>41412</v>
      </c>
      <c r="B186" s="2" t="s">
        <v>46</v>
      </c>
      <c r="C186" s="6" t="s">
        <v>52</v>
      </c>
      <c r="D186" s="6" t="s">
        <v>60</v>
      </c>
      <c r="E186" s="10">
        <v>17</v>
      </c>
    </row>
    <row r="187" spans="1:5" x14ac:dyDescent="0.4">
      <c r="A187" s="5">
        <v>41412</v>
      </c>
      <c r="B187" s="2" t="s">
        <v>46</v>
      </c>
      <c r="C187" s="6" t="s">
        <v>55</v>
      </c>
      <c r="D187" s="6" t="s">
        <v>60</v>
      </c>
      <c r="E187" s="10">
        <v>7</v>
      </c>
    </row>
    <row r="188" spans="1:5" x14ac:dyDescent="0.4">
      <c r="A188" s="5">
        <v>41412</v>
      </c>
      <c r="B188" s="2" t="s">
        <v>46</v>
      </c>
      <c r="C188" s="6" t="s">
        <v>50</v>
      </c>
      <c r="D188" s="6" t="s">
        <v>61</v>
      </c>
      <c r="E188" s="10">
        <v>17</v>
      </c>
    </row>
    <row r="189" spans="1:5" x14ac:dyDescent="0.4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x14ac:dyDescent="0.4">
      <c r="A190" s="5">
        <v>41412</v>
      </c>
      <c r="B190" s="2" t="s">
        <v>46</v>
      </c>
      <c r="C190" s="6" t="s">
        <v>56</v>
      </c>
      <c r="D190" s="6" t="s">
        <v>60</v>
      </c>
      <c r="E190" s="10">
        <v>7</v>
      </c>
    </row>
    <row r="191" spans="1:5" x14ac:dyDescent="0.4">
      <c r="A191" s="5">
        <v>41412</v>
      </c>
      <c r="B191" s="2" t="s">
        <v>46</v>
      </c>
      <c r="C191" s="6" t="s">
        <v>52</v>
      </c>
      <c r="D191" s="6" t="s">
        <v>61</v>
      </c>
      <c r="E191" s="10">
        <v>7</v>
      </c>
    </row>
    <row r="192" spans="1:5" x14ac:dyDescent="0.4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x14ac:dyDescent="0.4">
      <c r="A193" s="5">
        <v>41413</v>
      </c>
      <c r="B193" s="2" t="s">
        <v>46</v>
      </c>
      <c r="C193" s="6" t="s">
        <v>56</v>
      </c>
      <c r="D193" s="6" t="s">
        <v>61</v>
      </c>
      <c r="E193" s="10">
        <v>7</v>
      </c>
    </row>
    <row r="194" spans="1:5" x14ac:dyDescent="0.4">
      <c r="A194" s="5">
        <v>41414</v>
      </c>
      <c r="B194" s="2" t="s">
        <v>46</v>
      </c>
      <c r="C194" s="6" t="s">
        <v>53</v>
      </c>
      <c r="D194" s="6" t="s">
        <v>61</v>
      </c>
      <c r="E194" s="10">
        <v>7</v>
      </c>
    </row>
    <row r="195" spans="1:5" x14ac:dyDescent="0.4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x14ac:dyDescent="0.4">
      <c r="A196" s="5">
        <v>41414</v>
      </c>
      <c r="B196" s="2" t="s">
        <v>46</v>
      </c>
      <c r="C196" s="6" t="s">
        <v>54</v>
      </c>
      <c r="D196" s="6" t="s">
        <v>61</v>
      </c>
      <c r="E196" s="10">
        <v>7</v>
      </c>
    </row>
    <row r="197" spans="1:5" x14ac:dyDescent="0.4">
      <c r="A197" s="5">
        <v>41415</v>
      </c>
      <c r="B197" s="2" t="s">
        <v>46</v>
      </c>
      <c r="C197" s="6" t="s">
        <v>55</v>
      </c>
      <c r="D197" s="6" t="s">
        <v>61</v>
      </c>
      <c r="E197" s="10">
        <v>7</v>
      </c>
    </row>
    <row r="198" spans="1:5" x14ac:dyDescent="0.4">
      <c r="A198" s="5">
        <v>41415</v>
      </c>
      <c r="B198" s="2" t="s">
        <v>46</v>
      </c>
      <c r="C198" s="6" t="s">
        <v>54</v>
      </c>
      <c r="D198" s="6" t="s">
        <v>60</v>
      </c>
      <c r="E198" s="10">
        <v>7</v>
      </c>
    </row>
    <row r="199" spans="1:5" x14ac:dyDescent="0.4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x14ac:dyDescent="0.4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x14ac:dyDescent="0.4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x14ac:dyDescent="0.4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x14ac:dyDescent="0.4">
      <c r="A203" s="5">
        <v>41418</v>
      </c>
      <c r="B203" s="2" t="s">
        <v>49</v>
      </c>
      <c r="C203" s="6" t="s">
        <v>54</v>
      </c>
      <c r="D203" s="6" t="s">
        <v>61</v>
      </c>
      <c r="E203" s="10">
        <v>33</v>
      </c>
    </row>
    <row r="204" spans="1:5" x14ac:dyDescent="0.4">
      <c r="A204" s="5">
        <v>41418</v>
      </c>
      <c r="B204" s="2" t="s">
        <v>49</v>
      </c>
      <c r="C204" s="6" t="s">
        <v>54</v>
      </c>
      <c r="D204" s="6" t="s">
        <v>60</v>
      </c>
      <c r="E204" s="10">
        <v>33</v>
      </c>
    </row>
    <row r="205" spans="1:5" x14ac:dyDescent="0.4">
      <c r="A205" s="5">
        <v>41418</v>
      </c>
      <c r="B205" s="2" t="s">
        <v>49</v>
      </c>
      <c r="C205" s="6" t="s">
        <v>51</v>
      </c>
      <c r="D205" s="6" t="s">
        <v>60</v>
      </c>
      <c r="E205" s="10">
        <v>33</v>
      </c>
    </row>
    <row r="206" spans="1:5" x14ac:dyDescent="0.4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x14ac:dyDescent="0.4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4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x14ac:dyDescent="0.4">
      <c r="A209" s="5">
        <v>41419</v>
      </c>
      <c r="B209" s="2" t="s">
        <v>46</v>
      </c>
      <c r="C209" s="6" t="s">
        <v>52</v>
      </c>
      <c r="D209" s="6" t="s">
        <v>61</v>
      </c>
      <c r="E209" s="10">
        <v>17</v>
      </c>
    </row>
    <row r="210" spans="1:5" x14ac:dyDescent="0.4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4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4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x14ac:dyDescent="0.4">
      <c r="A213" s="5">
        <v>41420</v>
      </c>
      <c r="B213" s="2" t="s">
        <v>46</v>
      </c>
      <c r="C213" s="6" t="s">
        <v>54</v>
      </c>
      <c r="D213" s="6" t="s">
        <v>60</v>
      </c>
      <c r="E213" s="10">
        <v>17</v>
      </c>
    </row>
    <row r="214" spans="1:5" x14ac:dyDescent="0.4">
      <c r="A214" s="5">
        <v>41420</v>
      </c>
      <c r="B214" s="2" t="s">
        <v>46</v>
      </c>
      <c r="C214" s="6" t="s">
        <v>51</v>
      </c>
      <c r="D214" s="6" t="s">
        <v>60</v>
      </c>
      <c r="E214" s="10">
        <v>17</v>
      </c>
    </row>
    <row r="215" spans="1:5" x14ac:dyDescent="0.4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x14ac:dyDescent="0.4">
      <c r="A216" s="5">
        <v>41421</v>
      </c>
      <c r="B216" s="2" t="s">
        <v>48</v>
      </c>
      <c r="C216" s="6" t="s">
        <v>54</v>
      </c>
      <c r="D216" s="6" t="s">
        <v>60</v>
      </c>
      <c r="E216" s="10">
        <v>67</v>
      </c>
    </row>
    <row r="217" spans="1:5" x14ac:dyDescent="0.4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4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x14ac:dyDescent="0.4">
      <c r="A219" s="5">
        <v>41421</v>
      </c>
      <c r="B219" s="2" t="s">
        <v>48</v>
      </c>
      <c r="C219" s="6" t="s">
        <v>54</v>
      </c>
      <c r="D219" s="6" t="s">
        <v>60</v>
      </c>
      <c r="E219" s="10">
        <v>67</v>
      </c>
    </row>
    <row r="220" spans="1:5" x14ac:dyDescent="0.4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x14ac:dyDescent="0.4">
      <c r="A221" s="5">
        <v>41422</v>
      </c>
      <c r="B221" s="2" t="s">
        <v>49</v>
      </c>
      <c r="C221" s="6" t="s">
        <v>55</v>
      </c>
      <c r="D221" s="6" t="s">
        <v>60</v>
      </c>
      <c r="E221" s="10">
        <v>33</v>
      </c>
    </row>
    <row r="222" spans="1:5" x14ac:dyDescent="0.4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x14ac:dyDescent="0.4">
      <c r="A223" s="5">
        <v>41422</v>
      </c>
      <c r="B223" s="2" t="s">
        <v>49</v>
      </c>
      <c r="C223" s="6" t="s">
        <v>51</v>
      </c>
      <c r="D223" s="6" t="s">
        <v>60</v>
      </c>
      <c r="E223" s="10">
        <v>33</v>
      </c>
    </row>
    <row r="224" spans="1:5" x14ac:dyDescent="0.4">
      <c r="A224" s="5">
        <v>41422</v>
      </c>
      <c r="B224" s="2" t="s">
        <v>49</v>
      </c>
      <c r="C224" s="6" t="s">
        <v>52</v>
      </c>
      <c r="D224" s="6" t="s">
        <v>60</v>
      </c>
      <c r="E224" s="10">
        <v>33</v>
      </c>
    </row>
    <row r="225" spans="1:5" x14ac:dyDescent="0.4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4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x14ac:dyDescent="0.4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x14ac:dyDescent="0.4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4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x14ac:dyDescent="0.4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x14ac:dyDescent="0.4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x14ac:dyDescent="0.4">
      <c r="A232" s="5">
        <v>41424</v>
      </c>
      <c r="B232" s="2" t="s">
        <v>46</v>
      </c>
      <c r="C232" s="6" t="s">
        <v>50</v>
      </c>
      <c r="D232" s="6" t="s">
        <v>61</v>
      </c>
      <c r="E232" s="10">
        <v>17</v>
      </c>
    </row>
    <row r="233" spans="1:5" x14ac:dyDescent="0.4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4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4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x14ac:dyDescent="0.4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4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x14ac:dyDescent="0.4">
      <c r="A238" s="5">
        <v>41425</v>
      </c>
      <c r="B238" s="2" t="s">
        <v>46</v>
      </c>
      <c r="C238" s="6" t="s">
        <v>56</v>
      </c>
      <c r="D238" s="6" t="s">
        <v>60</v>
      </c>
      <c r="E238" s="10">
        <v>17</v>
      </c>
    </row>
    <row r="239" spans="1:5" x14ac:dyDescent="0.4">
      <c r="A239" s="5">
        <v>41425</v>
      </c>
      <c r="B239" s="2" t="s">
        <v>46</v>
      </c>
      <c r="C239" s="6" t="s">
        <v>54</v>
      </c>
      <c r="D239" s="6" t="s">
        <v>61</v>
      </c>
      <c r="E239" s="10">
        <v>17</v>
      </c>
    </row>
    <row r="240" spans="1:5" x14ac:dyDescent="0.4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4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autoFilter ref="A15:I15" xr:uid="{00000000-0001-0000-0200-000000000000}"/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Naresh Hariyani</cp:lastModifiedBy>
  <dcterms:created xsi:type="dcterms:W3CDTF">2013-06-05T17:23:06Z</dcterms:created>
  <dcterms:modified xsi:type="dcterms:W3CDTF">2026-01-18T15:33:41Z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